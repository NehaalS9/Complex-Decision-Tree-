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6b418da9a587d2/Documents/"/>
    </mc:Choice>
  </mc:AlternateContent>
  <xr:revisionPtr revIDLastSave="0" documentId="8_{F18DC750-CF3B-4136-81A6-885E056368B1}" xr6:coauthVersionLast="47" xr6:coauthVersionMax="47" xr10:uidLastSave="{00000000-0000-0000-0000-000000000000}"/>
  <bookViews>
    <workbookView xWindow="-120" yWindow="-120" windowWidth="29040" windowHeight="15720" xr2:uid="{EC585E80-7E2F-4F84-877F-F9E9BC54B1AA}"/>
  </bookViews>
  <sheets>
    <sheet name="Sheet2" sheetId="2" r:id="rId1"/>
  </sheets>
  <externalReferences>
    <externalReference r:id="rId2"/>
  </externalReferences>
  <definedNames>
    <definedName name="_xlnm.Print_Area" localSheetId="0">Sheet2!$A$1:$N$84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N74" i="2"/>
  <c r="N70" i="2"/>
  <c r="N66" i="2"/>
  <c r="N62" i="2"/>
  <c r="N58" i="2"/>
  <c r="N54" i="2"/>
  <c r="N50" i="2"/>
  <c r="N46" i="2"/>
  <c r="N42" i="2"/>
  <c r="N38" i="2"/>
  <c r="N34" i="2"/>
  <c r="N30" i="2"/>
  <c r="N26" i="2"/>
  <c r="N22" i="2"/>
  <c r="N18" i="2"/>
  <c r="N14" i="2"/>
  <c r="N10" i="2"/>
  <c r="N6" i="2"/>
  <c r="E78" i="2"/>
  <c r="J69" i="2"/>
  <c r="J57" i="2"/>
  <c r="L49" i="2"/>
  <c r="J45" i="2" s="1"/>
  <c r="L37" i="2"/>
  <c r="J33" i="2" s="1"/>
  <c r="L25" i="2"/>
  <c r="J21" i="2" s="1"/>
  <c r="L13" i="2"/>
  <c r="J9" i="2" s="1"/>
  <c r="F57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G21" i="2" l="1"/>
  <c r="G57" i="2"/>
  <c r="D39" i="2" l="1"/>
  <c r="A58" i="2" s="1"/>
  <c r="A60" i="2" s="1"/>
</calcChain>
</file>

<file path=xl/sharedStrings.xml><?xml version="1.0" encoding="utf-8"?>
<sst xmlns="http://schemas.openxmlformats.org/spreadsheetml/2006/main" count="43" uniqueCount="26">
  <si>
    <t>Problem Data</t>
  </si>
  <si>
    <t>max</t>
  </si>
  <si>
    <t>nodes</t>
  </si>
  <si>
    <t>Node</t>
  </si>
  <si>
    <t>Parnt</t>
  </si>
  <si>
    <t>Name</t>
  </si>
  <si>
    <t>Chldrn</t>
  </si>
  <si>
    <t>Decision</t>
  </si>
  <si>
    <t>Ch #</t>
  </si>
  <si>
    <t>Prob</t>
  </si>
  <si>
    <t>Profit</t>
  </si>
  <si>
    <t>Created by Excel OM/QM</t>
  </si>
  <si>
    <t>Data row</t>
  </si>
  <si>
    <t>Problem title</t>
  </si>
  <si>
    <t xml:space="preserve">Survey </t>
  </si>
  <si>
    <t xml:space="preserve">No survey </t>
  </si>
  <si>
    <t>Positive</t>
  </si>
  <si>
    <t xml:space="preserve">Negative </t>
  </si>
  <si>
    <t>Low Demand</t>
  </si>
  <si>
    <t>Medium Demand</t>
  </si>
  <si>
    <t>High Demand</t>
  </si>
  <si>
    <t>Alternative 1 (6)</t>
  </si>
  <si>
    <t>Alternative 2 (8)</t>
  </si>
  <si>
    <t>Alternative (10)</t>
  </si>
  <si>
    <t>Alternative 3 (10)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</si>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</sst>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95250</xdr:rowOff>
    </xdr:from>
    <xdr:to>
      <xdr:col>0</xdr:col>
      <xdr:colOff>233363</xdr:colOff>
      <xdr:row>58</xdr:row>
      <xdr:rowOff>95250</xdr:rowOff>
    </xdr:to>
    <xdr:cxnSp macro="">
      <xdr:nvCxnSpPr>
        <xdr:cNvPr id="560" name="Straight Connector 559">
          <a:extLst>
            <a:ext uri="{FF2B5EF4-FFF2-40B4-BE49-F238E27FC236}">
              <a16:creationId xmlns:a16="http://schemas.microsoft.com/office/drawing/2014/main" id="{59D44B10-09CB-EBD2-B793-9F6F4BD556C0}"/>
            </a:ext>
          </a:extLst>
        </xdr:cNvPr>
        <xdr:cNvCxnSpPr/>
      </xdr:nvCxnSpPr>
      <xdr:spPr>
        <a:xfrm>
          <a:off x="0" y="111442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233363</xdr:colOff>
      <xdr:row>58</xdr:row>
      <xdr:rowOff>0</xdr:rowOff>
    </xdr:from>
    <xdr:to>
      <xdr:col>1</xdr:col>
      <xdr:colOff>0</xdr:colOff>
      <xdr:row>59</xdr:row>
      <xdr:rowOff>0</xdr:rowOff>
    </xdr:to>
    <xdr:sp macro="[1]!selectNode1" textlink="">
      <xdr:nvSpPr>
        <xdr:cNvPr id="561" name="Rectangle 560">
          <a:extLst>
            <a:ext uri="{FF2B5EF4-FFF2-40B4-BE49-F238E27FC236}">
              <a16:creationId xmlns:a16="http://schemas.microsoft.com/office/drawing/2014/main" id="{C838A265-EAE6-C1E8-9140-182AB8AF9853}"/>
            </a:ext>
          </a:extLst>
        </xdr:cNvPr>
        <xdr:cNvSpPr/>
      </xdr:nvSpPr>
      <xdr:spPr>
        <a:xfrm>
          <a:off x="233363" y="11049000"/>
          <a:ext cx="233362" cy="190500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39</xdr:row>
      <xdr:rowOff>95250</xdr:rowOff>
    </xdr:from>
    <xdr:to>
      <xdr:col>3</xdr:col>
      <xdr:colOff>233363</xdr:colOff>
      <xdr:row>39</xdr:row>
      <xdr:rowOff>95250</xdr:rowOff>
    </xdr:to>
    <xdr:cxnSp macro="">
      <xdr:nvCxnSpPr>
        <xdr:cNvPr id="562" name="Straight Connector 561">
          <a:extLst>
            <a:ext uri="{FF2B5EF4-FFF2-40B4-BE49-F238E27FC236}">
              <a16:creationId xmlns:a16="http://schemas.microsoft.com/office/drawing/2014/main" id="{59CB9990-2397-BE93-5CE5-E756485B0B86}"/>
            </a:ext>
          </a:extLst>
        </xdr:cNvPr>
        <xdr:cNvCxnSpPr/>
      </xdr:nvCxnSpPr>
      <xdr:spPr>
        <a:xfrm>
          <a:off x="1762125" y="7524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233363</xdr:colOff>
      <xdr:row>39</xdr:row>
      <xdr:rowOff>0</xdr:rowOff>
    </xdr:from>
    <xdr:to>
      <xdr:col>4</xdr:col>
      <xdr:colOff>0</xdr:colOff>
      <xdr:row>40</xdr:row>
      <xdr:rowOff>0</xdr:rowOff>
    </xdr:to>
    <xdr:sp macro="[1]!selectNode2" textlink="">
      <xdr:nvSpPr>
        <xdr:cNvPr id="563" name="Oval 562">
          <a:extLst>
            <a:ext uri="{FF2B5EF4-FFF2-40B4-BE49-F238E27FC236}">
              <a16:creationId xmlns:a16="http://schemas.microsoft.com/office/drawing/2014/main" id="{00E12EA7-ECDA-206A-BA30-E395732C484F}"/>
            </a:ext>
          </a:extLst>
        </xdr:cNvPr>
        <xdr:cNvSpPr/>
      </xdr:nvSpPr>
      <xdr:spPr>
        <a:xfrm>
          <a:off x="1995488" y="7429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0</xdr:colOff>
      <xdr:row>39</xdr:row>
      <xdr:rowOff>95250</xdr:rowOff>
    </xdr:from>
    <xdr:to>
      <xdr:col>1</xdr:col>
      <xdr:colOff>304800</xdr:colOff>
      <xdr:row>58</xdr:row>
      <xdr:rowOff>95250</xdr:rowOff>
    </xdr:to>
    <xdr:cxnSp macro="">
      <xdr:nvCxnSpPr>
        <xdr:cNvPr id="564" name="Straight Connector 563">
          <a:extLst>
            <a:ext uri="{FF2B5EF4-FFF2-40B4-BE49-F238E27FC236}">
              <a16:creationId xmlns:a16="http://schemas.microsoft.com/office/drawing/2014/main" id="{0FD7E49D-AA51-5FFE-38CE-0360BD9062F7}"/>
            </a:ext>
          </a:extLst>
        </xdr:cNvPr>
        <xdr:cNvCxnSpPr/>
      </xdr:nvCxnSpPr>
      <xdr:spPr>
        <a:xfrm flipV="1">
          <a:off x="466725" y="7524750"/>
          <a:ext cx="304800" cy="361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39</xdr:row>
      <xdr:rowOff>95250</xdr:rowOff>
    </xdr:from>
    <xdr:to>
      <xdr:col>2</xdr:col>
      <xdr:colOff>0</xdr:colOff>
      <xdr:row>39</xdr:row>
      <xdr:rowOff>95250</xdr:rowOff>
    </xdr:to>
    <xdr:cxnSp macro="">
      <xdr:nvCxnSpPr>
        <xdr:cNvPr id="565" name="Straight Connector 564">
          <a:extLst>
            <a:ext uri="{FF2B5EF4-FFF2-40B4-BE49-F238E27FC236}">
              <a16:creationId xmlns:a16="http://schemas.microsoft.com/office/drawing/2014/main" id="{5D71DA4A-0D01-DFE6-9690-07F17B81EF28}"/>
            </a:ext>
          </a:extLst>
        </xdr:cNvPr>
        <xdr:cNvCxnSpPr/>
      </xdr:nvCxnSpPr>
      <xdr:spPr>
        <a:xfrm>
          <a:off x="771525" y="7524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77</xdr:row>
      <xdr:rowOff>95250</xdr:rowOff>
    </xdr:from>
    <xdr:to>
      <xdr:col>3</xdr:col>
      <xdr:colOff>140017</xdr:colOff>
      <xdr:row>77</xdr:row>
      <xdr:rowOff>95250</xdr:rowOff>
    </xdr:to>
    <xdr:cxnSp macro="">
      <xdr:nvCxnSpPr>
        <xdr:cNvPr id="566" name="Straight Connector 565">
          <a:extLst>
            <a:ext uri="{FF2B5EF4-FFF2-40B4-BE49-F238E27FC236}">
              <a16:creationId xmlns:a16="http://schemas.microsoft.com/office/drawing/2014/main" id="{6940634B-35F5-3EA9-7E44-2D44505E39A2}"/>
            </a:ext>
          </a:extLst>
        </xdr:cNvPr>
        <xdr:cNvCxnSpPr/>
      </xdr:nvCxnSpPr>
      <xdr:spPr>
        <a:xfrm>
          <a:off x="1571625" y="14763750"/>
          <a:ext cx="14001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136655</xdr:colOff>
      <xdr:row>76</xdr:row>
      <xdr:rowOff>115729</xdr:rowOff>
    </xdr:from>
    <xdr:to>
      <xdr:col>3</xdr:col>
      <xdr:colOff>463362</xdr:colOff>
      <xdr:row>78</xdr:row>
      <xdr:rowOff>20479</xdr:rowOff>
    </xdr:to>
    <xdr:sp macro="[1]!selectNode3" textlink="">
      <xdr:nvSpPr>
        <xdr:cNvPr id="567" name="Isosceles Triangle 566">
          <a:extLst>
            <a:ext uri="{FF2B5EF4-FFF2-40B4-BE49-F238E27FC236}">
              <a16:creationId xmlns:a16="http://schemas.microsoft.com/office/drawing/2014/main" id="{F3776CE7-8138-EB8D-18E4-C08A9EBAFD0E}"/>
            </a:ext>
          </a:extLst>
        </xdr:cNvPr>
        <xdr:cNvSpPr/>
      </xdr:nvSpPr>
      <xdr:spPr>
        <a:xfrm rot="16200000">
          <a:off x="1728759" y="14573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0</xdr:colOff>
      <xdr:row>58</xdr:row>
      <xdr:rowOff>95250</xdr:rowOff>
    </xdr:from>
    <xdr:to>
      <xdr:col>1</xdr:col>
      <xdr:colOff>304800</xdr:colOff>
      <xdr:row>77</xdr:row>
      <xdr:rowOff>95250</xdr:rowOff>
    </xdr:to>
    <xdr:cxnSp macro="">
      <xdr:nvCxnSpPr>
        <xdr:cNvPr id="568" name="Straight Connector 567">
          <a:extLst>
            <a:ext uri="{FF2B5EF4-FFF2-40B4-BE49-F238E27FC236}">
              <a16:creationId xmlns:a16="http://schemas.microsoft.com/office/drawing/2014/main" id="{3E98907D-294E-0420-8E44-CB9FCF1F0D98}"/>
            </a:ext>
          </a:extLst>
        </xdr:cNvPr>
        <xdr:cNvCxnSpPr/>
      </xdr:nvCxnSpPr>
      <xdr:spPr>
        <a:xfrm>
          <a:off x="466725" y="11144250"/>
          <a:ext cx="304800" cy="361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77</xdr:row>
      <xdr:rowOff>95250</xdr:rowOff>
    </xdr:from>
    <xdr:to>
      <xdr:col>2</xdr:col>
      <xdr:colOff>0</xdr:colOff>
      <xdr:row>77</xdr:row>
      <xdr:rowOff>95250</xdr:rowOff>
    </xdr:to>
    <xdr:cxnSp macro="">
      <xdr:nvCxnSpPr>
        <xdr:cNvPr id="569" name="Straight Connector 568">
          <a:extLst>
            <a:ext uri="{FF2B5EF4-FFF2-40B4-BE49-F238E27FC236}">
              <a16:creationId xmlns:a16="http://schemas.microsoft.com/office/drawing/2014/main" id="{AD9F2B61-9AAC-BEE1-8505-E32582F7409C}"/>
            </a:ext>
          </a:extLst>
        </xdr:cNvPr>
        <xdr:cNvCxnSpPr/>
      </xdr:nvCxnSpPr>
      <xdr:spPr>
        <a:xfrm>
          <a:off x="771525" y="1476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6</xdr:col>
      <xdr:colOff>233363</xdr:colOff>
      <xdr:row>21</xdr:row>
      <xdr:rowOff>95250</xdr:rowOff>
    </xdr:to>
    <xdr:cxnSp macro="">
      <xdr:nvCxnSpPr>
        <xdr:cNvPr id="570" name="Straight Connector 569">
          <a:extLst>
            <a:ext uri="{FF2B5EF4-FFF2-40B4-BE49-F238E27FC236}">
              <a16:creationId xmlns:a16="http://schemas.microsoft.com/office/drawing/2014/main" id="{3169AA13-E04F-115C-B0D0-3AC8B3E0B78A}"/>
            </a:ext>
          </a:extLst>
        </xdr:cNvPr>
        <xdr:cNvCxnSpPr/>
      </xdr:nvCxnSpPr>
      <xdr:spPr>
        <a:xfrm>
          <a:off x="3467100" y="4095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21</xdr:row>
      <xdr:rowOff>0</xdr:rowOff>
    </xdr:from>
    <xdr:to>
      <xdr:col>7</xdr:col>
      <xdr:colOff>0</xdr:colOff>
      <xdr:row>22</xdr:row>
      <xdr:rowOff>0</xdr:rowOff>
    </xdr:to>
    <xdr:sp macro="[1]!selectNode4" textlink="">
      <xdr:nvSpPr>
        <xdr:cNvPr id="571" name="Oval 570">
          <a:extLst>
            <a:ext uri="{FF2B5EF4-FFF2-40B4-BE49-F238E27FC236}">
              <a16:creationId xmlns:a16="http://schemas.microsoft.com/office/drawing/2014/main" id="{7CA4BDA1-FB92-EB1D-CC1D-89ECFC598FF9}"/>
            </a:ext>
          </a:extLst>
        </xdr:cNvPr>
        <xdr:cNvSpPr/>
      </xdr:nvSpPr>
      <xdr:spPr>
        <a:xfrm>
          <a:off x="3700463" y="4000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21</xdr:row>
      <xdr:rowOff>95250</xdr:rowOff>
    </xdr:from>
    <xdr:to>
      <xdr:col>4</xdr:col>
      <xdr:colOff>304800</xdr:colOff>
      <xdr:row>39</xdr:row>
      <xdr:rowOff>95250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id="{701AB0E6-DAFC-E381-6C79-271FEC231A26}"/>
            </a:ext>
          </a:extLst>
        </xdr:cNvPr>
        <xdr:cNvCxnSpPr/>
      </xdr:nvCxnSpPr>
      <xdr:spPr>
        <a:xfrm flipV="1">
          <a:off x="2228850" y="4095750"/>
          <a:ext cx="304800" cy="342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21</xdr:row>
      <xdr:rowOff>95250</xdr:rowOff>
    </xdr:from>
    <xdr:to>
      <xdr:col>5</xdr:col>
      <xdr:colOff>0</xdr:colOff>
      <xdr:row>21</xdr:row>
      <xdr:rowOff>95250</xdr:rowOff>
    </xdr:to>
    <xdr:cxnSp macro="">
      <xdr:nvCxnSpPr>
        <xdr:cNvPr id="573" name="Straight Connector 572">
          <a:extLst>
            <a:ext uri="{FF2B5EF4-FFF2-40B4-BE49-F238E27FC236}">
              <a16:creationId xmlns:a16="http://schemas.microsoft.com/office/drawing/2014/main" id="{56D836F6-E5C6-A306-2B42-B31E20E86B87}"/>
            </a:ext>
          </a:extLst>
        </xdr:cNvPr>
        <xdr:cNvCxnSpPr/>
      </xdr:nvCxnSpPr>
      <xdr:spPr>
        <a:xfrm>
          <a:off x="2533650" y="4095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95250</xdr:rowOff>
    </xdr:from>
    <xdr:to>
      <xdr:col>6</xdr:col>
      <xdr:colOff>233363</xdr:colOff>
      <xdr:row>57</xdr:row>
      <xdr:rowOff>95250</xdr:rowOff>
    </xdr:to>
    <xdr:cxnSp macro="">
      <xdr:nvCxnSpPr>
        <xdr:cNvPr id="574" name="Straight Connector 573">
          <a:extLst>
            <a:ext uri="{FF2B5EF4-FFF2-40B4-BE49-F238E27FC236}">
              <a16:creationId xmlns:a16="http://schemas.microsoft.com/office/drawing/2014/main" id="{593709F6-3C1E-23E8-3828-011BCCDEC4E2}"/>
            </a:ext>
          </a:extLst>
        </xdr:cNvPr>
        <xdr:cNvCxnSpPr/>
      </xdr:nvCxnSpPr>
      <xdr:spPr>
        <a:xfrm>
          <a:off x="3381375" y="10953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233363</xdr:colOff>
      <xdr:row>57</xdr:row>
      <xdr:rowOff>0</xdr:rowOff>
    </xdr:from>
    <xdr:to>
      <xdr:col>7</xdr:col>
      <xdr:colOff>0</xdr:colOff>
      <xdr:row>58</xdr:row>
      <xdr:rowOff>0</xdr:rowOff>
    </xdr:to>
    <xdr:sp macro="[1]!selectNode5" textlink="">
      <xdr:nvSpPr>
        <xdr:cNvPr id="575" name="Oval 574">
          <a:extLst>
            <a:ext uri="{FF2B5EF4-FFF2-40B4-BE49-F238E27FC236}">
              <a16:creationId xmlns:a16="http://schemas.microsoft.com/office/drawing/2014/main" id="{B2709199-2A5E-92B7-67F7-5FAE1BF323A5}"/>
            </a:ext>
          </a:extLst>
        </xdr:cNvPr>
        <xdr:cNvSpPr/>
      </xdr:nvSpPr>
      <xdr:spPr>
        <a:xfrm>
          <a:off x="3614738" y="10858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0</xdr:colOff>
      <xdr:row>39</xdr:row>
      <xdr:rowOff>95250</xdr:rowOff>
    </xdr:from>
    <xdr:to>
      <xdr:col>4</xdr:col>
      <xdr:colOff>304800</xdr:colOff>
      <xdr:row>57</xdr:row>
      <xdr:rowOff>95250</xdr:rowOff>
    </xdr:to>
    <xdr:cxnSp macro="">
      <xdr:nvCxnSpPr>
        <xdr:cNvPr id="576" name="Straight Connector 575">
          <a:extLst>
            <a:ext uri="{FF2B5EF4-FFF2-40B4-BE49-F238E27FC236}">
              <a16:creationId xmlns:a16="http://schemas.microsoft.com/office/drawing/2014/main" id="{1FDBCF38-794B-5991-B4F8-9398BB89B490}"/>
            </a:ext>
          </a:extLst>
        </xdr:cNvPr>
        <xdr:cNvCxnSpPr/>
      </xdr:nvCxnSpPr>
      <xdr:spPr>
        <a:xfrm>
          <a:off x="2228850" y="7524750"/>
          <a:ext cx="304800" cy="342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57</xdr:row>
      <xdr:rowOff>95250</xdr:rowOff>
    </xdr:from>
    <xdr:to>
      <xdr:col>5</xdr:col>
      <xdr:colOff>0</xdr:colOff>
      <xdr:row>57</xdr:row>
      <xdr:rowOff>95250</xdr:rowOff>
    </xdr:to>
    <xdr:cxnSp macro="">
      <xdr:nvCxnSpPr>
        <xdr:cNvPr id="577" name="Straight Connector 576">
          <a:extLst>
            <a:ext uri="{FF2B5EF4-FFF2-40B4-BE49-F238E27FC236}">
              <a16:creationId xmlns:a16="http://schemas.microsoft.com/office/drawing/2014/main" id="{E0704CAB-4838-09EF-9DB9-E14B00F0E75E}"/>
            </a:ext>
          </a:extLst>
        </xdr:cNvPr>
        <xdr:cNvCxnSpPr/>
      </xdr:nvCxnSpPr>
      <xdr:spPr>
        <a:xfrm>
          <a:off x="2533650" y="1095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95250</xdr:rowOff>
    </xdr:from>
    <xdr:to>
      <xdr:col>9</xdr:col>
      <xdr:colOff>233363</xdr:colOff>
      <xdr:row>9</xdr:row>
      <xdr:rowOff>95250</xdr:rowOff>
    </xdr:to>
    <xdr:cxnSp macro="">
      <xdr:nvCxnSpPr>
        <xdr:cNvPr id="578" name="Straight Connector 577">
          <a:extLst>
            <a:ext uri="{FF2B5EF4-FFF2-40B4-BE49-F238E27FC236}">
              <a16:creationId xmlns:a16="http://schemas.microsoft.com/office/drawing/2014/main" id="{102F9DEF-C744-04E8-CE57-6903196E5C43}"/>
            </a:ext>
          </a:extLst>
        </xdr:cNvPr>
        <xdr:cNvCxnSpPr/>
      </xdr:nvCxnSpPr>
      <xdr:spPr>
        <a:xfrm>
          <a:off x="5400675" y="1809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9</xdr:row>
      <xdr:rowOff>0</xdr:rowOff>
    </xdr:from>
    <xdr:to>
      <xdr:col>10</xdr:col>
      <xdr:colOff>0</xdr:colOff>
      <xdr:row>10</xdr:row>
      <xdr:rowOff>0</xdr:rowOff>
    </xdr:to>
    <xdr:sp macro="[1]!selectNode6" textlink="">
      <xdr:nvSpPr>
        <xdr:cNvPr id="579" name="Oval 578">
          <a:extLst>
            <a:ext uri="{FF2B5EF4-FFF2-40B4-BE49-F238E27FC236}">
              <a16:creationId xmlns:a16="http://schemas.microsoft.com/office/drawing/2014/main" id="{059B8B2D-0B46-025B-7C56-CA4AA02EF802}"/>
            </a:ext>
          </a:extLst>
        </xdr:cNvPr>
        <xdr:cNvSpPr/>
      </xdr:nvSpPr>
      <xdr:spPr>
        <a:xfrm>
          <a:off x="5634038" y="1714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0</xdr:colOff>
      <xdr:row>9</xdr:row>
      <xdr:rowOff>95250</xdr:rowOff>
    </xdr:from>
    <xdr:to>
      <xdr:col>7</xdr:col>
      <xdr:colOff>304800</xdr:colOff>
      <xdr:row>21</xdr:row>
      <xdr:rowOff>95250</xdr:rowOff>
    </xdr:to>
    <xdr:cxnSp macro="">
      <xdr:nvCxnSpPr>
        <xdr:cNvPr id="580" name="Straight Connector 579">
          <a:extLst>
            <a:ext uri="{FF2B5EF4-FFF2-40B4-BE49-F238E27FC236}">
              <a16:creationId xmlns:a16="http://schemas.microsoft.com/office/drawing/2014/main" id="{6A55CE95-B7EF-2371-F347-A9A2D4FE9151}"/>
            </a:ext>
          </a:extLst>
        </xdr:cNvPr>
        <xdr:cNvCxnSpPr/>
      </xdr:nvCxnSpPr>
      <xdr:spPr>
        <a:xfrm flipV="1">
          <a:off x="3933825" y="1809750"/>
          <a:ext cx="304800" cy="2286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9</xdr:row>
      <xdr:rowOff>95250</xdr:rowOff>
    </xdr:from>
    <xdr:to>
      <xdr:col>8</xdr:col>
      <xdr:colOff>0</xdr:colOff>
      <xdr:row>9</xdr:row>
      <xdr:rowOff>95250</xdr:rowOff>
    </xdr:to>
    <xdr:cxnSp macro="">
      <xdr:nvCxnSpPr>
        <xdr:cNvPr id="581" name="Straight Connector 580">
          <a:extLst>
            <a:ext uri="{FF2B5EF4-FFF2-40B4-BE49-F238E27FC236}">
              <a16:creationId xmlns:a16="http://schemas.microsoft.com/office/drawing/2014/main" id="{2D8EBBF7-3E95-0F0E-151D-C9ADBE8573C8}"/>
            </a:ext>
          </a:extLst>
        </xdr:cNvPr>
        <xdr:cNvCxnSpPr/>
      </xdr:nvCxnSpPr>
      <xdr:spPr>
        <a:xfrm>
          <a:off x="4238625" y="180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95250</xdr:rowOff>
    </xdr:from>
    <xdr:to>
      <xdr:col>9</xdr:col>
      <xdr:colOff>233363</xdr:colOff>
      <xdr:row>21</xdr:row>
      <xdr:rowOff>95250</xdr:rowOff>
    </xdr:to>
    <xdr:cxnSp macro="">
      <xdr:nvCxnSpPr>
        <xdr:cNvPr id="582" name="Straight Connector 581">
          <a:extLst>
            <a:ext uri="{FF2B5EF4-FFF2-40B4-BE49-F238E27FC236}">
              <a16:creationId xmlns:a16="http://schemas.microsoft.com/office/drawing/2014/main" id="{92358542-102A-B322-0A45-F2ED666054E8}"/>
            </a:ext>
          </a:extLst>
        </xdr:cNvPr>
        <xdr:cNvCxnSpPr/>
      </xdr:nvCxnSpPr>
      <xdr:spPr>
        <a:xfrm>
          <a:off x="5372100" y="4095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21</xdr:row>
      <xdr:rowOff>0</xdr:rowOff>
    </xdr:from>
    <xdr:to>
      <xdr:col>10</xdr:col>
      <xdr:colOff>0</xdr:colOff>
      <xdr:row>22</xdr:row>
      <xdr:rowOff>0</xdr:rowOff>
    </xdr:to>
    <xdr:sp macro="[1]!selectNode7" textlink="">
      <xdr:nvSpPr>
        <xdr:cNvPr id="583" name="Oval 582">
          <a:extLst>
            <a:ext uri="{FF2B5EF4-FFF2-40B4-BE49-F238E27FC236}">
              <a16:creationId xmlns:a16="http://schemas.microsoft.com/office/drawing/2014/main" id="{F67A8C73-13C5-BE04-A4C9-D0AC5B2B21C9}"/>
            </a:ext>
          </a:extLst>
        </xdr:cNvPr>
        <xdr:cNvSpPr/>
      </xdr:nvSpPr>
      <xdr:spPr>
        <a:xfrm>
          <a:off x="5605463" y="4000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0</xdr:colOff>
      <xdr:row>21</xdr:row>
      <xdr:rowOff>95250</xdr:rowOff>
    </xdr:from>
    <xdr:to>
      <xdr:col>7</xdr:col>
      <xdr:colOff>304800</xdr:colOff>
      <xdr:row>21</xdr:row>
      <xdr:rowOff>95250</xdr:rowOff>
    </xdr:to>
    <xdr:cxnSp macro="">
      <xdr:nvCxnSpPr>
        <xdr:cNvPr id="584" name="Straight Connector 583">
          <a:extLst>
            <a:ext uri="{FF2B5EF4-FFF2-40B4-BE49-F238E27FC236}">
              <a16:creationId xmlns:a16="http://schemas.microsoft.com/office/drawing/2014/main" id="{A50C14BB-E915-5C22-21A9-8910CBA97A68}"/>
            </a:ext>
          </a:extLst>
        </xdr:cNvPr>
        <xdr:cNvCxnSpPr/>
      </xdr:nvCxnSpPr>
      <xdr:spPr>
        <a:xfrm>
          <a:off x="3933825" y="4095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21</xdr:row>
      <xdr:rowOff>95250</xdr:rowOff>
    </xdr:from>
    <xdr:to>
      <xdr:col>8</xdr:col>
      <xdr:colOff>0</xdr:colOff>
      <xdr:row>21</xdr:row>
      <xdr:rowOff>95250</xdr:rowOff>
    </xdr:to>
    <xdr:cxnSp macro="">
      <xdr:nvCxnSpPr>
        <xdr:cNvPr id="585" name="Straight Connector 584">
          <a:extLst>
            <a:ext uri="{FF2B5EF4-FFF2-40B4-BE49-F238E27FC236}">
              <a16:creationId xmlns:a16="http://schemas.microsoft.com/office/drawing/2014/main" id="{55B83122-D2C3-D41D-D9E3-B130216D26B1}"/>
            </a:ext>
          </a:extLst>
        </xdr:cNvPr>
        <xdr:cNvCxnSpPr/>
      </xdr:nvCxnSpPr>
      <xdr:spPr>
        <a:xfrm>
          <a:off x="4238625" y="4095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33</xdr:row>
      <xdr:rowOff>95250</xdr:rowOff>
    </xdr:from>
    <xdr:to>
      <xdr:col>9</xdr:col>
      <xdr:colOff>233363</xdr:colOff>
      <xdr:row>33</xdr:row>
      <xdr:rowOff>95250</xdr:rowOff>
    </xdr:to>
    <xdr:cxnSp macro="">
      <xdr:nvCxnSpPr>
        <xdr:cNvPr id="586" name="Straight Connector 585">
          <a:extLst>
            <a:ext uri="{FF2B5EF4-FFF2-40B4-BE49-F238E27FC236}">
              <a16:creationId xmlns:a16="http://schemas.microsoft.com/office/drawing/2014/main" id="{F9988B46-1551-8E2D-7BD4-83853597D9A0}"/>
            </a:ext>
          </a:extLst>
        </xdr:cNvPr>
        <xdr:cNvCxnSpPr/>
      </xdr:nvCxnSpPr>
      <xdr:spPr>
        <a:xfrm>
          <a:off x="5400675" y="6381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33</xdr:row>
      <xdr:rowOff>0</xdr:rowOff>
    </xdr:from>
    <xdr:to>
      <xdr:col>10</xdr:col>
      <xdr:colOff>0</xdr:colOff>
      <xdr:row>34</xdr:row>
      <xdr:rowOff>0</xdr:rowOff>
    </xdr:to>
    <xdr:sp macro="[1]!selectNode8" textlink="">
      <xdr:nvSpPr>
        <xdr:cNvPr id="587" name="Oval 586">
          <a:extLst>
            <a:ext uri="{FF2B5EF4-FFF2-40B4-BE49-F238E27FC236}">
              <a16:creationId xmlns:a16="http://schemas.microsoft.com/office/drawing/2014/main" id="{1CA60B86-7DDC-FC60-BB05-9B1829B93957}"/>
            </a:ext>
          </a:extLst>
        </xdr:cNvPr>
        <xdr:cNvSpPr/>
      </xdr:nvSpPr>
      <xdr:spPr>
        <a:xfrm>
          <a:off x="5634038" y="6286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0</xdr:colOff>
      <xdr:row>21</xdr:row>
      <xdr:rowOff>95250</xdr:rowOff>
    </xdr:from>
    <xdr:to>
      <xdr:col>7</xdr:col>
      <xdr:colOff>304800</xdr:colOff>
      <xdr:row>33</xdr:row>
      <xdr:rowOff>95250</xdr:rowOff>
    </xdr:to>
    <xdr:cxnSp macro="">
      <xdr:nvCxnSpPr>
        <xdr:cNvPr id="588" name="Straight Connector 587">
          <a:extLst>
            <a:ext uri="{FF2B5EF4-FFF2-40B4-BE49-F238E27FC236}">
              <a16:creationId xmlns:a16="http://schemas.microsoft.com/office/drawing/2014/main" id="{519D4E41-0C8B-9FF2-47BD-F6AA2034E870}"/>
            </a:ext>
          </a:extLst>
        </xdr:cNvPr>
        <xdr:cNvCxnSpPr/>
      </xdr:nvCxnSpPr>
      <xdr:spPr>
        <a:xfrm>
          <a:off x="3933825" y="4095750"/>
          <a:ext cx="304800" cy="2286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33</xdr:row>
      <xdr:rowOff>95250</xdr:rowOff>
    </xdr:from>
    <xdr:to>
      <xdr:col>8</xdr:col>
      <xdr:colOff>0</xdr:colOff>
      <xdr:row>33</xdr:row>
      <xdr:rowOff>95250</xdr:rowOff>
    </xdr:to>
    <xdr:cxnSp macro="">
      <xdr:nvCxnSpPr>
        <xdr:cNvPr id="589" name="Straight Connector 588">
          <a:extLst>
            <a:ext uri="{FF2B5EF4-FFF2-40B4-BE49-F238E27FC236}">
              <a16:creationId xmlns:a16="http://schemas.microsoft.com/office/drawing/2014/main" id="{60EF3D1B-D99D-B203-2A18-BCD0CB678FA0}"/>
            </a:ext>
          </a:extLst>
        </xdr:cNvPr>
        <xdr:cNvCxnSpPr/>
      </xdr:nvCxnSpPr>
      <xdr:spPr>
        <a:xfrm>
          <a:off x="4238625" y="6381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</xdr:row>
      <xdr:rowOff>95250</xdr:rowOff>
    </xdr:from>
    <xdr:to>
      <xdr:col>12</xdr:col>
      <xdr:colOff>140018</xdr:colOff>
      <xdr:row>5</xdr:row>
      <xdr:rowOff>95250</xdr:rowOff>
    </xdr:to>
    <xdr:cxnSp macro="">
      <xdr:nvCxnSpPr>
        <xdr:cNvPr id="590" name="Straight Connector 589">
          <a:extLst>
            <a:ext uri="{FF2B5EF4-FFF2-40B4-BE49-F238E27FC236}">
              <a16:creationId xmlns:a16="http://schemas.microsoft.com/office/drawing/2014/main" id="{2B32ADC1-EC63-1213-FCE1-56107070A374}"/>
            </a:ext>
          </a:extLst>
        </xdr:cNvPr>
        <xdr:cNvCxnSpPr/>
      </xdr:nvCxnSpPr>
      <xdr:spPr>
        <a:xfrm>
          <a:off x="7572375" y="1047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4</xdr:row>
      <xdr:rowOff>115729</xdr:rowOff>
    </xdr:from>
    <xdr:to>
      <xdr:col>13</xdr:col>
      <xdr:colOff>56645</xdr:colOff>
      <xdr:row>6</xdr:row>
      <xdr:rowOff>20479</xdr:rowOff>
    </xdr:to>
    <xdr:sp macro="[1]!selectNode9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C50B156C-FF17-F9A3-4DCE-FEE954F2B32D}"/>
            </a:ext>
          </a:extLst>
        </xdr:cNvPr>
        <xdr:cNvSpPr/>
      </xdr:nvSpPr>
      <xdr:spPr>
        <a:xfrm rot="16200000">
          <a:off x="7789517" y="857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5</xdr:row>
      <xdr:rowOff>95250</xdr:rowOff>
    </xdr:from>
    <xdr:to>
      <xdr:col>10</xdr:col>
      <xdr:colOff>304800</xdr:colOff>
      <xdr:row>9</xdr:row>
      <xdr:rowOff>95250</xdr:rowOff>
    </xdr:to>
    <xdr:cxnSp macro="">
      <xdr:nvCxnSpPr>
        <xdr:cNvPr id="592" name="Straight Connector 591">
          <a:extLst>
            <a:ext uri="{FF2B5EF4-FFF2-40B4-BE49-F238E27FC236}">
              <a16:creationId xmlns:a16="http://schemas.microsoft.com/office/drawing/2014/main" id="{72E2EAE2-392A-C62B-F6B5-3ADE8707128E}"/>
            </a:ext>
          </a:extLst>
        </xdr:cNvPr>
        <xdr:cNvCxnSpPr/>
      </xdr:nvCxnSpPr>
      <xdr:spPr>
        <a:xfrm flipV="1">
          <a:off x="5867400" y="1047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5</xdr:row>
      <xdr:rowOff>95250</xdr:rowOff>
    </xdr:from>
    <xdr:to>
      <xdr:col>11</xdr:col>
      <xdr:colOff>0</xdr:colOff>
      <xdr:row>5</xdr:row>
      <xdr:rowOff>95250</xdr:rowOff>
    </xdr:to>
    <xdr:cxnSp macro="">
      <xdr:nvCxnSpPr>
        <xdr:cNvPr id="593" name="Straight Connector 592">
          <a:extLst>
            <a:ext uri="{FF2B5EF4-FFF2-40B4-BE49-F238E27FC236}">
              <a16:creationId xmlns:a16="http://schemas.microsoft.com/office/drawing/2014/main" id="{65C43602-A59E-A070-1EC7-7EE377E5CE37}"/>
            </a:ext>
          </a:extLst>
        </xdr:cNvPr>
        <xdr:cNvCxnSpPr/>
      </xdr:nvCxnSpPr>
      <xdr:spPr>
        <a:xfrm>
          <a:off x="6172200" y="1047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95250</xdr:rowOff>
    </xdr:from>
    <xdr:to>
      <xdr:col>12</xdr:col>
      <xdr:colOff>140018</xdr:colOff>
      <xdr:row>9</xdr:row>
      <xdr:rowOff>95250</xdr:rowOff>
    </xdr:to>
    <xdr:cxnSp macro="">
      <xdr:nvCxnSpPr>
        <xdr:cNvPr id="594" name="Straight Connector 593">
          <a:extLst>
            <a:ext uri="{FF2B5EF4-FFF2-40B4-BE49-F238E27FC236}">
              <a16:creationId xmlns:a16="http://schemas.microsoft.com/office/drawing/2014/main" id="{0CFC14F3-0E14-008B-9CB6-697FEEECE25D}"/>
            </a:ext>
          </a:extLst>
        </xdr:cNvPr>
        <xdr:cNvCxnSpPr/>
      </xdr:nvCxnSpPr>
      <xdr:spPr>
        <a:xfrm>
          <a:off x="7305675" y="1809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193996</xdr:colOff>
      <xdr:row>8</xdr:row>
      <xdr:rowOff>115729</xdr:rowOff>
    </xdr:from>
    <xdr:to>
      <xdr:col>13</xdr:col>
      <xdr:colOff>53979</xdr:colOff>
      <xdr:row>10</xdr:row>
      <xdr:rowOff>20479</xdr:rowOff>
    </xdr:to>
    <xdr:sp macro="[1]!selectNode10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2F7E2C4C-765E-9D01-11D8-9C82E079CF24}"/>
            </a:ext>
          </a:extLst>
        </xdr:cNvPr>
        <xdr:cNvSpPr/>
      </xdr:nvSpPr>
      <xdr:spPr>
        <a:xfrm rot="16200000">
          <a:off x="7520150" y="1619250"/>
          <a:ext cx="285750" cy="326708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9</xdr:row>
      <xdr:rowOff>95250</xdr:rowOff>
    </xdr:from>
    <xdr:to>
      <xdr:col>10</xdr:col>
      <xdr:colOff>304800</xdr:colOff>
      <xdr:row>9</xdr:row>
      <xdr:rowOff>95250</xdr:rowOff>
    </xdr:to>
    <xdr:cxnSp macro="">
      <xdr:nvCxnSpPr>
        <xdr:cNvPr id="596" name="Straight Connector 595">
          <a:extLst>
            <a:ext uri="{FF2B5EF4-FFF2-40B4-BE49-F238E27FC236}">
              <a16:creationId xmlns:a16="http://schemas.microsoft.com/office/drawing/2014/main" id="{57D6EC8F-5E8E-491E-643C-49EDC98C7D6D}"/>
            </a:ext>
          </a:extLst>
        </xdr:cNvPr>
        <xdr:cNvCxnSpPr/>
      </xdr:nvCxnSpPr>
      <xdr:spPr>
        <a:xfrm>
          <a:off x="5867400" y="180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9</xdr:row>
      <xdr:rowOff>95250</xdr:rowOff>
    </xdr:from>
    <xdr:to>
      <xdr:col>11</xdr:col>
      <xdr:colOff>0</xdr:colOff>
      <xdr:row>9</xdr:row>
      <xdr:rowOff>95250</xdr:rowOff>
    </xdr:to>
    <xdr:cxnSp macro="">
      <xdr:nvCxnSpPr>
        <xdr:cNvPr id="597" name="Straight Connector 596">
          <a:extLst>
            <a:ext uri="{FF2B5EF4-FFF2-40B4-BE49-F238E27FC236}">
              <a16:creationId xmlns:a16="http://schemas.microsoft.com/office/drawing/2014/main" id="{627F9844-CB2F-8C73-F416-27AFC37CEA72}"/>
            </a:ext>
          </a:extLst>
        </xdr:cNvPr>
        <xdr:cNvCxnSpPr/>
      </xdr:nvCxnSpPr>
      <xdr:spPr>
        <a:xfrm>
          <a:off x="6172200" y="180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95250</xdr:rowOff>
    </xdr:from>
    <xdr:to>
      <xdr:col>12</xdr:col>
      <xdr:colOff>140018</xdr:colOff>
      <xdr:row>13</xdr:row>
      <xdr:rowOff>95250</xdr:rowOff>
    </xdr:to>
    <xdr:cxnSp macro="">
      <xdr:nvCxnSpPr>
        <xdr:cNvPr id="598" name="Straight Connector 597">
          <a:extLst>
            <a:ext uri="{FF2B5EF4-FFF2-40B4-BE49-F238E27FC236}">
              <a16:creationId xmlns:a16="http://schemas.microsoft.com/office/drawing/2014/main" id="{37DBC748-4F16-9F2F-127A-64667D33A762}"/>
            </a:ext>
          </a:extLst>
        </xdr:cNvPr>
        <xdr:cNvCxnSpPr/>
      </xdr:nvCxnSpPr>
      <xdr:spPr>
        <a:xfrm>
          <a:off x="7572375" y="2571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12</xdr:row>
      <xdr:rowOff>115729</xdr:rowOff>
    </xdr:from>
    <xdr:to>
      <xdr:col>13</xdr:col>
      <xdr:colOff>56646</xdr:colOff>
      <xdr:row>14</xdr:row>
      <xdr:rowOff>20479</xdr:rowOff>
    </xdr:to>
    <xdr:sp macro="[1]!selectNode11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68AC808B-6784-5444-0AA8-B2B16EB3E58D}"/>
            </a:ext>
          </a:extLst>
        </xdr:cNvPr>
        <xdr:cNvSpPr/>
      </xdr:nvSpPr>
      <xdr:spPr>
        <a:xfrm rot="16200000">
          <a:off x="7789517" y="2381250"/>
          <a:ext cx="285750" cy="326708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9</xdr:row>
      <xdr:rowOff>95250</xdr:rowOff>
    </xdr:from>
    <xdr:to>
      <xdr:col>10</xdr:col>
      <xdr:colOff>304800</xdr:colOff>
      <xdr:row>13</xdr:row>
      <xdr:rowOff>95250</xdr:rowOff>
    </xdr:to>
    <xdr:cxnSp macro="">
      <xdr:nvCxnSpPr>
        <xdr:cNvPr id="600" name="Straight Connector 599">
          <a:extLst>
            <a:ext uri="{FF2B5EF4-FFF2-40B4-BE49-F238E27FC236}">
              <a16:creationId xmlns:a16="http://schemas.microsoft.com/office/drawing/2014/main" id="{9FC0EBFE-901D-4CDF-2D6D-279F606C1A6D}"/>
            </a:ext>
          </a:extLst>
        </xdr:cNvPr>
        <xdr:cNvCxnSpPr/>
      </xdr:nvCxnSpPr>
      <xdr:spPr>
        <a:xfrm>
          <a:off x="5867400" y="1809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13</xdr:row>
      <xdr:rowOff>95250</xdr:rowOff>
    </xdr:from>
    <xdr:to>
      <xdr:col>11</xdr:col>
      <xdr:colOff>0</xdr:colOff>
      <xdr:row>13</xdr:row>
      <xdr:rowOff>95250</xdr:rowOff>
    </xdr:to>
    <xdr:cxnSp macro="">
      <xdr:nvCxnSpPr>
        <xdr:cNvPr id="601" name="Straight Connector 600">
          <a:extLst>
            <a:ext uri="{FF2B5EF4-FFF2-40B4-BE49-F238E27FC236}">
              <a16:creationId xmlns:a16="http://schemas.microsoft.com/office/drawing/2014/main" id="{9578D99A-AB89-EB91-D0F4-DCF90D5F2656}"/>
            </a:ext>
          </a:extLst>
        </xdr:cNvPr>
        <xdr:cNvCxnSpPr/>
      </xdr:nvCxnSpPr>
      <xdr:spPr>
        <a:xfrm>
          <a:off x="6172200" y="2571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95250</xdr:rowOff>
    </xdr:from>
    <xdr:to>
      <xdr:col>12</xdr:col>
      <xdr:colOff>140018</xdr:colOff>
      <xdr:row>17</xdr:row>
      <xdr:rowOff>95250</xdr:rowOff>
    </xdr:to>
    <xdr:cxnSp macro="">
      <xdr:nvCxnSpPr>
        <xdr:cNvPr id="602" name="Straight Connector 601">
          <a:extLst>
            <a:ext uri="{FF2B5EF4-FFF2-40B4-BE49-F238E27FC236}">
              <a16:creationId xmlns:a16="http://schemas.microsoft.com/office/drawing/2014/main" id="{0151508B-0EFE-16C3-BAA8-D7C70327F69E}"/>
            </a:ext>
          </a:extLst>
        </xdr:cNvPr>
        <xdr:cNvCxnSpPr/>
      </xdr:nvCxnSpPr>
      <xdr:spPr>
        <a:xfrm>
          <a:off x="7572375" y="3333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16</xdr:row>
      <xdr:rowOff>115729</xdr:rowOff>
    </xdr:from>
    <xdr:to>
      <xdr:col>13</xdr:col>
      <xdr:colOff>56646</xdr:colOff>
      <xdr:row>18</xdr:row>
      <xdr:rowOff>20479</xdr:rowOff>
    </xdr:to>
    <xdr:sp macro="[1]!selectNode12" textlink="">
      <xdr:nvSpPr>
        <xdr:cNvPr id="603" name="Isosceles Triangle 602">
          <a:extLst>
            <a:ext uri="{FF2B5EF4-FFF2-40B4-BE49-F238E27FC236}">
              <a16:creationId xmlns:a16="http://schemas.microsoft.com/office/drawing/2014/main" id="{246FD240-AFC5-E315-D8A3-86E49ADD056A}"/>
            </a:ext>
          </a:extLst>
        </xdr:cNvPr>
        <xdr:cNvSpPr/>
      </xdr:nvSpPr>
      <xdr:spPr>
        <a:xfrm rot="16200000">
          <a:off x="7789517" y="3143250"/>
          <a:ext cx="285750" cy="326708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17</xdr:row>
      <xdr:rowOff>95250</xdr:rowOff>
    </xdr:from>
    <xdr:to>
      <xdr:col>10</xdr:col>
      <xdr:colOff>304800</xdr:colOff>
      <xdr:row>21</xdr:row>
      <xdr:rowOff>95250</xdr:rowOff>
    </xdr:to>
    <xdr:cxnSp macro="">
      <xdr:nvCxnSpPr>
        <xdr:cNvPr id="604" name="Straight Connector 603">
          <a:extLst>
            <a:ext uri="{FF2B5EF4-FFF2-40B4-BE49-F238E27FC236}">
              <a16:creationId xmlns:a16="http://schemas.microsoft.com/office/drawing/2014/main" id="{76E3B559-05FA-80DD-9F92-7C42CB543F4E}"/>
            </a:ext>
          </a:extLst>
        </xdr:cNvPr>
        <xdr:cNvCxnSpPr/>
      </xdr:nvCxnSpPr>
      <xdr:spPr>
        <a:xfrm flipV="1">
          <a:off x="5867400" y="3333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17</xdr:row>
      <xdr:rowOff>95250</xdr:rowOff>
    </xdr:from>
    <xdr:to>
      <xdr:col>11</xdr:col>
      <xdr:colOff>0</xdr:colOff>
      <xdr:row>17</xdr:row>
      <xdr:rowOff>95250</xdr:rowOff>
    </xdr:to>
    <xdr:cxnSp macro="">
      <xdr:nvCxnSpPr>
        <xdr:cNvPr id="605" name="Straight Connector 604">
          <a:extLst>
            <a:ext uri="{FF2B5EF4-FFF2-40B4-BE49-F238E27FC236}">
              <a16:creationId xmlns:a16="http://schemas.microsoft.com/office/drawing/2014/main" id="{9805B5BC-9249-9A8F-9BCB-458620028019}"/>
            </a:ext>
          </a:extLst>
        </xdr:cNvPr>
        <xdr:cNvCxnSpPr/>
      </xdr:nvCxnSpPr>
      <xdr:spPr>
        <a:xfrm>
          <a:off x="6172200" y="333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</xdr:row>
      <xdr:rowOff>95250</xdr:rowOff>
    </xdr:from>
    <xdr:to>
      <xdr:col>12</xdr:col>
      <xdr:colOff>140018</xdr:colOff>
      <xdr:row>21</xdr:row>
      <xdr:rowOff>95250</xdr:rowOff>
    </xdr:to>
    <xdr:cxnSp macro="">
      <xdr:nvCxnSpPr>
        <xdr:cNvPr id="606" name="Straight Connector 605">
          <a:extLst>
            <a:ext uri="{FF2B5EF4-FFF2-40B4-BE49-F238E27FC236}">
              <a16:creationId xmlns:a16="http://schemas.microsoft.com/office/drawing/2014/main" id="{3CA1BBDF-62BF-8971-1071-C8ADC6B56220}"/>
            </a:ext>
          </a:extLst>
        </xdr:cNvPr>
        <xdr:cNvCxnSpPr/>
      </xdr:nvCxnSpPr>
      <xdr:spPr>
        <a:xfrm>
          <a:off x="7572375" y="4095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20</xdr:row>
      <xdr:rowOff>115729</xdr:rowOff>
    </xdr:from>
    <xdr:to>
      <xdr:col>13</xdr:col>
      <xdr:colOff>56646</xdr:colOff>
      <xdr:row>22</xdr:row>
      <xdr:rowOff>20479</xdr:rowOff>
    </xdr:to>
    <xdr:sp macro="[1]!selectNode13" textlink="">
      <xdr:nvSpPr>
        <xdr:cNvPr id="607" name="Isosceles Triangle 606">
          <a:extLst>
            <a:ext uri="{FF2B5EF4-FFF2-40B4-BE49-F238E27FC236}">
              <a16:creationId xmlns:a16="http://schemas.microsoft.com/office/drawing/2014/main" id="{BA1591B2-805B-9DC7-EA6F-C85AE9A3975E}"/>
            </a:ext>
          </a:extLst>
        </xdr:cNvPr>
        <xdr:cNvSpPr/>
      </xdr:nvSpPr>
      <xdr:spPr>
        <a:xfrm rot="16200000">
          <a:off x="7789517" y="3905250"/>
          <a:ext cx="285750" cy="326708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21</xdr:row>
      <xdr:rowOff>95250</xdr:rowOff>
    </xdr:from>
    <xdr:to>
      <xdr:col>10</xdr:col>
      <xdr:colOff>304800</xdr:colOff>
      <xdr:row>21</xdr:row>
      <xdr:rowOff>95250</xdr:rowOff>
    </xdr:to>
    <xdr:cxnSp macro="">
      <xdr:nvCxnSpPr>
        <xdr:cNvPr id="608" name="Straight Connector 607">
          <a:extLst>
            <a:ext uri="{FF2B5EF4-FFF2-40B4-BE49-F238E27FC236}">
              <a16:creationId xmlns:a16="http://schemas.microsoft.com/office/drawing/2014/main" id="{0D02B59B-EFAC-CC46-C36A-C7F67481308F}"/>
            </a:ext>
          </a:extLst>
        </xdr:cNvPr>
        <xdr:cNvCxnSpPr/>
      </xdr:nvCxnSpPr>
      <xdr:spPr>
        <a:xfrm>
          <a:off x="5867400" y="4095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21</xdr:row>
      <xdr:rowOff>95250</xdr:rowOff>
    </xdr:from>
    <xdr:to>
      <xdr:col>11</xdr:col>
      <xdr:colOff>0</xdr:colOff>
      <xdr:row>21</xdr:row>
      <xdr:rowOff>95250</xdr:rowOff>
    </xdr:to>
    <xdr:cxnSp macro="">
      <xdr:nvCxnSpPr>
        <xdr:cNvPr id="609" name="Straight Connector 608">
          <a:extLst>
            <a:ext uri="{FF2B5EF4-FFF2-40B4-BE49-F238E27FC236}">
              <a16:creationId xmlns:a16="http://schemas.microsoft.com/office/drawing/2014/main" id="{F2A0090D-4B5A-7F5C-D38E-BA3B877F4839}"/>
            </a:ext>
          </a:extLst>
        </xdr:cNvPr>
        <xdr:cNvCxnSpPr/>
      </xdr:nvCxnSpPr>
      <xdr:spPr>
        <a:xfrm>
          <a:off x="6172200" y="4095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25</xdr:row>
      <xdr:rowOff>95250</xdr:rowOff>
    </xdr:from>
    <xdr:to>
      <xdr:col>12</xdr:col>
      <xdr:colOff>140018</xdr:colOff>
      <xdr:row>25</xdr:row>
      <xdr:rowOff>95250</xdr:rowOff>
    </xdr:to>
    <xdr:cxnSp macro="">
      <xdr:nvCxnSpPr>
        <xdr:cNvPr id="610" name="Straight Connector 609">
          <a:extLst>
            <a:ext uri="{FF2B5EF4-FFF2-40B4-BE49-F238E27FC236}">
              <a16:creationId xmlns:a16="http://schemas.microsoft.com/office/drawing/2014/main" id="{1FD04188-89D6-6C43-CEFF-7BD8EA5F50FA}"/>
            </a:ext>
          </a:extLst>
        </xdr:cNvPr>
        <xdr:cNvCxnSpPr/>
      </xdr:nvCxnSpPr>
      <xdr:spPr>
        <a:xfrm>
          <a:off x="7572375" y="4857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24</xdr:row>
      <xdr:rowOff>115729</xdr:rowOff>
    </xdr:from>
    <xdr:to>
      <xdr:col>13</xdr:col>
      <xdr:colOff>56646</xdr:colOff>
      <xdr:row>26</xdr:row>
      <xdr:rowOff>20479</xdr:rowOff>
    </xdr:to>
    <xdr:sp macro="[1]!selectNode14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7C17D93-1F18-C196-530F-B3225F431EA7}"/>
            </a:ext>
          </a:extLst>
        </xdr:cNvPr>
        <xdr:cNvSpPr/>
      </xdr:nvSpPr>
      <xdr:spPr>
        <a:xfrm rot="16200000">
          <a:off x="7789517" y="4667250"/>
          <a:ext cx="285750" cy="326708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21</xdr:row>
      <xdr:rowOff>95250</xdr:rowOff>
    </xdr:from>
    <xdr:to>
      <xdr:col>10</xdr:col>
      <xdr:colOff>304800</xdr:colOff>
      <xdr:row>25</xdr:row>
      <xdr:rowOff>95250</xdr:rowOff>
    </xdr:to>
    <xdr:cxnSp macro="">
      <xdr:nvCxnSpPr>
        <xdr:cNvPr id="612" name="Straight Connector 611">
          <a:extLst>
            <a:ext uri="{FF2B5EF4-FFF2-40B4-BE49-F238E27FC236}">
              <a16:creationId xmlns:a16="http://schemas.microsoft.com/office/drawing/2014/main" id="{130A2A29-2F39-3269-D68D-6C2FFF1425E3}"/>
            </a:ext>
          </a:extLst>
        </xdr:cNvPr>
        <xdr:cNvCxnSpPr/>
      </xdr:nvCxnSpPr>
      <xdr:spPr>
        <a:xfrm>
          <a:off x="5867400" y="4095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25</xdr:row>
      <xdr:rowOff>95250</xdr:rowOff>
    </xdr:from>
    <xdr:to>
      <xdr:col>11</xdr:col>
      <xdr:colOff>0</xdr:colOff>
      <xdr:row>25</xdr:row>
      <xdr:rowOff>95250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9D5E0536-2D3C-2CC6-1F68-89A1FBD0F215}"/>
            </a:ext>
          </a:extLst>
        </xdr:cNvPr>
        <xdr:cNvCxnSpPr/>
      </xdr:nvCxnSpPr>
      <xdr:spPr>
        <a:xfrm>
          <a:off x="6172200" y="4857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29</xdr:row>
      <xdr:rowOff>95250</xdr:rowOff>
    </xdr:from>
    <xdr:to>
      <xdr:col>12</xdr:col>
      <xdr:colOff>140018</xdr:colOff>
      <xdr:row>29</xdr:row>
      <xdr:rowOff>95250</xdr:rowOff>
    </xdr:to>
    <xdr:cxnSp macro="">
      <xdr:nvCxnSpPr>
        <xdr:cNvPr id="614" name="Straight Connector 613">
          <a:extLst>
            <a:ext uri="{FF2B5EF4-FFF2-40B4-BE49-F238E27FC236}">
              <a16:creationId xmlns:a16="http://schemas.microsoft.com/office/drawing/2014/main" id="{C1A32E47-A181-BE38-039D-8E3BFA6DD3D2}"/>
            </a:ext>
          </a:extLst>
        </xdr:cNvPr>
        <xdr:cNvCxnSpPr/>
      </xdr:nvCxnSpPr>
      <xdr:spPr>
        <a:xfrm>
          <a:off x="7572375" y="5619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28</xdr:row>
      <xdr:rowOff>115729</xdr:rowOff>
    </xdr:from>
    <xdr:to>
      <xdr:col>13</xdr:col>
      <xdr:colOff>56646</xdr:colOff>
      <xdr:row>30</xdr:row>
      <xdr:rowOff>20479</xdr:rowOff>
    </xdr:to>
    <xdr:sp macro="[1]!selectNode15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701810DE-80A3-1CF3-32BF-662868A56658}"/>
            </a:ext>
          </a:extLst>
        </xdr:cNvPr>
        <xdr:cNvSpPr/>
      </xdr:nvSpPr>
      <xdr:spPr>
        <a:xfrm rot="16200000">
          <a:off x="7789517" y="5429250"/>
          <a:ext cx="285750" cy="326708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29</xdr:row>
      <xdr:rowOff>95250</xdr:rowOff>
    </xdr:from>
    <xdr:to>
      <xdr:col>10</xdr:col>
      <xdr:colOff>304800</xdr:colOff>
      <xdr:row>33</xdr:row>
      <xdr:rowOff>95250</xdr:rowOff>
    </xdr:to>
    <xdr:cxnSp macro="">
      <xdr:nvCxnSpPr>
        <xdr:cNvPr id="616" name="Straight Connector 615">
          <a:extLst>
            <a:ext uri="{FF2B5EF4-FFF2-40B4-BE49-F238E27FC236}">
              <a16:creationId xmlns:a16="http://schemas.microsoft.com/office/drawing/2014/main" id="{30AB66E1-B95D-83E5-54D5-7E18E4339A89}"/>
            </a:ext>
          </a:extLst>
        </xdr:cNvPr>
        <xdr:cNvCxnSpPr/>
      </xdr:nvCxnSpPr>
      <xdr:spPr>
        <a:xfrm flipV="1">
          <a:off x="5867400" y="5619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29</xdr:row>
      <xdr:rowOff>95250</xdr:rowOff>
    </xdr:from>
    <xdr:to>
      <xdr:col>11</xdr:col>
      <xdr:colOff>0</xdr:colOff>
      <xdr:row>29</xdr:row>
      <xdr:rowOff>95250</xdr:rowOff>
    </xdr:to>
    <xdr:cxnSp macro="">
      <xdr:nvCxnSpPr>
        <xdr:cNvPr id="617" name="Straight Connector 616">
          <a:extLst>
            <a:ext uri="{FF2B5EF4-FFF2-40B4-BE49-F238E27FC236}">
              <a16:creationId xmlns:a16="http://schemas.microsoft.com/office/drawing/2014/main" id="{E8C3DF29-EAD2-1BE7-FE26-D62A2C1656AD}"/>
            </a:ext>
          </a:extLst>
        </xdr:cNvPr>
        <xdr:cNvCxnSpPr/>
      </xdr:nvCxnSpPr>
      <xdr:spPr>
        <a:xfrm>
          <a:off x="6172200" y="561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95250</xdr:rowOff>
    </xdr:from>
    <xdr:to>
      <xdr:col>12</xdr:col>
      <xdr:colOff>140018</xdr:colOff>
      <xdr:row>33</xdr:row>
      <xdr:rowOff>95250</xdr:rowOff>
    </xdr:to>
    <xdr:cxnSp macro="">
      <xdr:nvCxnSpPr>
        <xdr:cNvPr id="618" name="Straight Connector 617">
          <a:extLst>
            <a:ext uri="{FF2B5EF4-FFF2-40B4-BE49-F238E27FC236}">
              <a16:creationId xmlns:a16="http://schemas.microsoft.com/office/drawing/2014/main" id="{16AEAA29-61C2-F784-8FC3-3FE2CF7975FE}"/>
            </a:ext>
          </a:extLst>
        </xdr:cNvPr>
        <xdr:cNvCxnSpPr/>
      </xdr:nvCxnSpPr>
      <xdr:spPr>
        <a:xfrm>
          <a:off x="7572375" y="6381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32</xdr:row>
      <xdr:rowOff>115729</xdr:rowOff>
    </xdr:from>
    <xdr:to>
      <xdr:col>13</xdr:col>
      <xdr:colOff>56645</xdr:colOff>
      <xdr:row>34</xdr:row>
      <xdr:rowOff>20479</xdr:rowOff>
    </xdr:to>
    <xdr:sp macro="[1]!selectNode16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4FEC8DE4-041F-47DB-27DD-19E527962F6E}"/>
            </a:ext>
          </a:extLst>
        </xdr:cNvPr>
        <xdr:cNvSpPr/>
      </xdr:nvSpPr>
      <xdr:spPr>
        <a:xfrm rot="16200000">
          <a:off x="7789517" y="6191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33</xdr:row>
      <xdr:rowOff>95250</xdr:rowOff>
    </xdr:from>
    <xdr:to>
      <xdr:col>10</xdr:col>
      <xdr:colOff>304800</xdr:colOff>
      <xdr:row>33</xdr:row>
      <xdr:rowOff>95250</xdr:rowOff>
    </xdr:to>
    <xdr:cxnSp macro="">
      <xdr:nvCxnSpPr>
        <xdr:cNvPr id="620" name="Straight Connector 619">
          <a:extLst>
            <a:ext uri="{FF2B5EF4-FFF2-40B4-BE49-F238E27FC236}">
              <a16:creationId xmlns:a16="http://schemas.microsoft.com/office/drawing/2014/main" id="{2FE7A942-BAF9-ABF3-FC87-20EF09576CFA}"/>
            </a:ext>
          </a:extLst>
        </xdr:cNvPr>
        <xdr:cNvCxnSpPr/>
      </xdr:nvCxnSpPr>
      <xdr:spPr>
        <a:xfrm>
          <a:off x="5867400" y="6381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33</xdr:row>
      <xdr:rowOff>95250</xdr:rowOff>
    </xdr:from>
    <xdr:to>
      <xdr:col>11</xdr:col>
      <xdr:colOff>0</xdr:colOff>
      <xdr:row>33</xdr:row>
      <xdr:rowOff>95250</xdr:rowOff>
    </xdr:to>
    <xdr:cxnSp macro="">
      <xdr:nvCxnSpPr>
        <xdr:cNvPr id="621" name="Straight Connector 620">
          <a:extLst>
            <a:ext uri="{FF2B5EF4-FFF2-40B4-BE49-F238E27FC236}">
              <a16:creationId xmlns:a16="http://schemas.microsoft.com/office/drawing/2014/main" id="{9B5F9DDC-0F9E-26AA-26A0-590C4BDBC9A0}"/>
            </a:ext>
          </a:extLst>
        </xdr:cNvPr>
        <xdr:cNvCxnSpPr/>
      </xdr:nvCxnSpPr>
      <xdr:spPr>
        <a:xfrm>
          <a:off x="6172200" y="6381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37</xdr:row>
      <xdr:rowOff>95250</xdr:rowOff>
    </xdr:from>
    <xdr:to>
      <xdr:col>12</xdr:col>
      <xdr:colOff>140018</xdr:colOff>
      <xdr:row>37</xdr:row>
      <xdr:rowOff>95250</xdr:rowOff>
    </xdr:to>
    <xdr:cxnSp macro="">
      <xdr:nvCxnSpPr>
        <xdr:cNvPr id="622" name="Straight Connector 621">
          <a:extLst>
            <a:ext uri="{FF2B5EF4-FFF2-40B4-BE49-F238E27FC236}">
              <a16:creationId xmlns:a16="http://schemas.microsoft.com/office/drawing/2014/main" id="{FDA79AE2-0553-E857-A8A7-9C0112041512}"/>
            </a:ext>
          </a:extLst>
        </xdr:cNvPr>
        <xdr:cNvCxnSpPr/>
      </xdr:nvCxnSpPr>
      <xdr:spPr>
        <a:xfrm>
          <a:off x="7572375" y="7143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36</xdr:row>
      <xdr:rowOff>115729</xdr:rowOff>
    </xdr:from>
    <xdr:to>
      <xdr:col>13</xdr:col>
      <xdr:colOff>56645</xdr:colOff>
      <xdr:row>38</xdr:row>
      <xdr:rowOff>20479</xdr:rowOff>
    </xdr:to>
    <xdr:sp macro="[1]!selectNode17" textlink="">
      <xdr:nvSpPr>
        <xdr:cNvPr id="623" name="Isosceles Triangle 622">
          <a:extLst>
            <a:ext uri="{FF2B5EF4-FFF2-40B4-BE49-F238E27FC236}">
              <a16:creationId xmlns:a16="http://schemas.microsoft.com/office/drawing/2014/main" id="{418A2BF5-507A-0490-F0A8-B303D3DF4A05}"/>
            </a:ext>
          </a:extLst>
        </xdr:cNvPr>
        <xdr:cNvSpPr/>
      </xdr:nvSpPr>
      <xdr:spPr>
        <a:xfrm rot="16200000">
          <a:off x="7789517" y="6953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33</xdr:row>
      <xdr:rowOff>95250</xdr:rowOff>
    </xdr:from>
    <xdr:to>
      <xdr:col>10</xdr:col>
      <xdr:colOff>304800</xdr:colOff>
      <xdr:row>37</xdr:row>
      <xdr:rowOff>95250</xdr:rowOff>
    </xdr:to>
    <xdr:cxnSp macro="">
      <xdr:nvCxnSpPr>
        <xdr:cNvPr id="624" name="Straight Connector 623">
          <a:extLst>
            <a:ext uri="{FF2B5EF4-FFF2-40B4-BE49-F238E27FC236}">
              <a16:creationId xmlns:a16="http://schemas.microsoft.com/office/drawing/2014/main" id="{FAD8540A-948B-F837-F3B3-D5930134ACBF}"/>
            </a:ext>
          </a:extLst>
        </xdr:cNvPr>
        <xdr:cNvCxnSpPr/>
      </xdr:nvCxnSpPr>
      <xdr:spPr>
        <a:xfrm>
          <a:off x="5867400" y="6381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37</xdr:row>
      <xdr:rowOff>95250</xdr:rowOff>
    </xdr:from>
    <xdr:to>
      <xdr:col>11</xdr:col>
      <xdr:colOff>0</xdr:colOff>
      <xdr:row>37</xdr:row>
      <xdr:rowOff>95250</xdr:rowOff>
    </xdr:to>
    <xdr:cxnSp macro="">
      <xdr:nvCxnSpPr>
        <xdr:cNvPr id="625" name="Straight Connector 624">
          <a:extLst>
            <a:ext uri="{FF2B5EF4-FFF2-40B4-BE49-F238E27FC236}">
              <a16:creationId xmlns:a16="http://schemas.microsoft.com/office/drawing/2014/main" id="{47610286-3FEE-CFD3-6692-A7592D349B28}"/>
            </a:ext>
          </a:extLst>
        </xdr:cNvPr>
        <xdr:cNvCxnSpPr/>
      </xdr:nvCxnSpPr>
      <xdr:spPr>
        <a:xfrm>
          <a:off x="6172200" y="714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45</xdr:row>
      <xdr:rowOff>95250</xdr:rowOff>
    </xdr:from>
    <xdr:to>
      <xdr:col>9</xdr:col>
      <xdr:colOff>233363</xdr:colOff>
      <xdr:row>45</xdr:row>
      <xdr:rowOff>95250</xdr:rowOff>
    </xdr:to>
    <xdr:cxnSp macro="">
      <xdr:nvCxnSpPr>
        <xdr:cNvPr id="626" name="Straight Connector 625">
          <a:extLst>
            <a:ext uri="{FF2B5EF4-FFF2-40B4-BE49-F238E27FC236}">
              <a16:creationId xmlns:a16="http://schemas.microsoft.com/office/drawing/2014/main" id="{9ED6E0A0-1AA9-1DEB-D102-9C82CFCD6237}"/>
            </a:ext>
          </a:extLst>
        </xdr:cNvPr>
        <xdr:cNvCxnSpPr/>
      </xdr:nvCxnSpPr>
      <xdr:spPr>
        <a:xfrm>
          <a:off x="5400675" y="8667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45</xdr:row>
      <xdr:rowOff>0</xdr:rowOff>
    </xdr:from>
    <xdr:to>
      <xdr:col>10</xdr:col>
      <xdr:colOff>0</xdr:colOff>
      <xdr:row>46</xdr:row>
      <xdr:rowOff>0</xdr:rowOff>
    </xdr:to>
    <xdr:sp macro="[1]!selectNode18" textlink="">
      <xdr:nvSpPr>
        <xdr:cNvPr id="627" name="Oval 626">
          <a:extLst>
            <a:ext uri="{FF2B5EF4-FFF2-40B4-BE49-F238E27FC236}">
              <a16:creationId xmlns:a16="http://schemas.microsoft.com/office/drawing/2014/main" id="{97828BC7-31F2-1E19-BB87-0B54C8A03E61}"/>
            </a:ext>
          </a:extLst>
        </xdr:cNvPr>
        <xdr:cNvSpPr/>
      </xdr:nvSpPr>
      <xdr:spPr>
        <a:xfrm>
          <a:off x="5634038" y="8572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0</xdr:colOff>
      <xdr:row>45</xdr:row>
      <xdr:rowOff>95250</xdr:rowOff>
    </xdr:from>
    <xdr:to>
      <xdr:col>7</xdr:col>
      <xdr:colOff>304800</xdr:colOff>
      <xdr:row>57</xdr:row>
      <xdr:rowOff>95250</xdr:rowOff>
    </xdr:to>
    <xdr:cxnSp macro="">
      <xdr:nvCxnSpPr>
        <xdr:cNvPr id="628" name="Straight Connector 627">
          <a:extLst>
            <a:ext uri="{FF2B5EF4-FFF2-40B4-BE49-F238E27FC236}">
              <a16:creationId xmlns:a16="http://schemas.microsoft.com/office/drawing/2014/main" id="{B3E2CA26-34E7-4E6C-2EC7-1DAE4363E207}"/>
            </a:ext>
          </a:extLst>
        </xdr:cNvPr>
        <xdr:cNvCxnSpPr/>
      </xdr:nvCxnSpPr>
      <xdr:spPr>
        <a:xfrm flipV="1">
          <a:off x="3933825" y="8667750"/>
          <a:ext cx="304800" cy="2286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45</xdr:row>
      <xdr:rowOff>95250</xdr:rowOff>
    </xdr:from>
    <xdr:to>
      <xdr:col>8</xdr:col>
      <xdr:colOff>0</xdr:colOff>
      <xdr:row>45</xdr:row>
      <xdr:rowOff>95250</xdr:rowOff>
    </xdr:to>
    <xdr:cxnSp macro="">
      <xdr:nvCxnSpPr>
        <xdr:cNvPr id="629" name="Straight Connector 628">
          <a:extLst>
            <a:ext uri="{FF2B5EF4-FFF2-40B4-BE49-F238E27FC236}">
              <a16:creationId xmlns:a16="http://schemas.microsoft.com/office/drawing/2014/main" id="{94DE9AB1-A5DA-504B-344A-3174D71F2748}"/>
            </a:ext>
          </a:extLst>
        </xdr:cNvPr>
        <xdr:cNvCxnSpPr/>
      </xdr:nvCxnSpPr>
      <xdr:spPr>
        <a:xfrm>
          <a:off x="4238625" y="8667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95250</xdr:rowOff>
    </xdr:from>
    <xdr:to>
      <xdr:col>9</xdr:col>
      <xdr:colOff>233363</xdr:colOff>
      <xdr:row>57</xdr:row>
      <xdr:rowOff>95250</xdr:rowOff>
    </xdr:to>
    <xdr:cxnSp macro="">
      <xdr:nvCxnSpPr>
        <xdr:cNvPr id="630" name="Straight Connector 629">
          <a:extLst>
            <a:ext uri="{FF2B5EF4-FFF2-40B4-BE49-F238E27FC236}">
              <a16:creationId xmlns:a16="http://schemas.microsoft.com/office/drawing/2014/main" id="{13A43D27-8DF0-72AF-E77A-411AF03DBCB6}"/>
            </a:ext>
          </a:extLst>
        </xdr:cNvPr>
        <xdr:cNvCxnSpPr/>
      </xdr:nvCxnSpPr>
      <xdr:spPr>
        <a:xfrm>
          <a:off x="5400675" y="10953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57</xdr:row>
      <xdr:rowOff>0</xdr:rowOff>
    </xdr:from>
    <xdr:to>
      <xdr:col>10</xdr:col>
      <xdr:colOff>0</xdr:colOff>
      <xdr:row>58</xdr:row>
      <xdr:rowOff>0</xdr:rowOff>
    </xdr:to>
    <xdr:sp macro="[1]!selectNode19" textlink="">
      <xdr:nvSpPr>
        <xdr:cNvPr id="631" name="Oval 630">
          <a:extLst>
            <a:ext uri="{FF2B5EF4-FFF2-40B4-BE49-F238E27FC236}">
              <a16:creationId xmlns:a16="http://schemas.microsoft.com/office/drawing/2014/main" id="{D9416001-D287-FEC0-806E-2D350AADB713}"/>
            </a:ext>
          </a:extLst>
        </xdr:cNvPr>
        <xdr:cNvSpPr/>
      </xdr:nvSpPr>
      <xdr:spPr>
        <a:xfrm>
          <a:off x="5634038" y="10858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0</xdr:colOff>
      <xdr:row>57</xdr:row>
      <xdr:rowOff>95250</xdr:rowOff>
    </xdr:from>
    <xdr:to>
      <xdr:col>7</xdr:col>
      <xdr:colOff>304800</xdr:colOff>
      <xdr:row>57</xdr:row>
      <xdr:rowOff>95250</xdr:rowOff>
    </xdr:to>
    <xdr:cxnSp macro="">
      <xdr:nvCxnSpPr>
        <xdr:cNvPr id="632" name="Straight Connector 631">
          <a:extLst>
            <a:ext uri="{FF2B5EF4-FFF2-40B4-BE49-F238E27FC236}">
              <a16:creationId xmlns:a16="http://schemas.microsoft.com/office/drawing/2014/main" id="{9D12B568-291B-B072-7A62-EAD502D21DB2}"/>
            </a:ext>
          </a:extLst>
        </xdr:cNvPr>
        <xdr:cNvCxnSpPr/>
      </xdr:nvCxnSpPr>
      <xdr:spPr>
        <a:xfrm>
          <a:off x="3933825" y="1095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57</xdr:row>
      <xdr:rowOff>95250</xdr:rowOff>
    </xdr:from>
    <xdr:to>
      <xdr:col>8</xdr:col>
      <xdr:colOff>0</xdr:colOff>
      <xdr:row>57</xdr:row>
      <xdr:rowOff>95250</xdr:rowOff>
    </xdr:to>
    <xdr:cxnSp macro="">
      <xdr:nvCxnSpPr>
        <xdr:cNvPr id="633" name="Straight Connector 632">
          <a:extLst>
            <a:ext uri="{FF2B5EF4-FFF2-40B4-BE49-F238E27FC236}">
              <a16:creationId xmlns:a16="http://schemas.microsoft.com/office/drawing/2014/main" id="{A3ED28BB-555B-3EB1-6E20-0B4AD4D8B087}"/>
            </a:ext>
          </a:extLst>
        </xdr:cNvPr>
        <xdr:cNvCxnSpPr/>
      </xdr:nvCxnSpPr>
      <xdr:spPr>
        <a:xfrm>
          <a:off x="4238625" y="1095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69</xdr:row>
      <xdr:rowOff>95250</xdr:rowOff>
    </xdr:from>
    <xdr:to>
      <xdr:col>9</xdr:col>
      <xdr:colOff>233363</xdr:colOff>
      <xdr:row>69</xdr:row>
      <xdr:rowOff>95250</xdr:rowOff>
    </xdr:to>
    <xdr:cxnSp macro="">
      <xdr:nvCxnSpPr>
        <xdr:cNvPr id="634" name="Straight Connector 633">
          <a:extLst>
            <a:ext uri="{FF2B5EF4-FFF2-40B4-BE49-F238E27FC236}">
              <a16:creationId xmlns:a16="http://schemas.microsoft.com/office/drawing/2014/main" id="{7F3BF7F3-45C9-D907-8CB4-72D37D5D0344}"/>
            </a:ext>
          </a:extLst>
        </xdr:cNvPr>
        <xdr:cNvCxnSpPr/>
      </xdr:nvCxnSpPr>
      <xdr:spPr>
        <a:xfrm>
          <a:off x="5400675" y="13239750"/>
          <a:ext cx="2333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233363</xdr:colOff>
      <xdr:row>69</xdr:row>
      <xdr:rowOff>0</xdr:rowOff>
    </xdr:from>
    <xdr:to>
      <xdr:col>10</xdr:col>
      <xdr:colOff>0</xdr:colOff>
      <xdr:row>70</xdr:row>
      <xdr:rowOff>0</xdr:rowOff>
    </xdr:to>
    <xdr:sp macro="[1]!selectNode20" textlink="">
      <xdr:nvSpPr>
        <xdr:cNvPr id="635" name="Oval 634">
          <a:extLst>
            <a:ext uri="{FF2B5EF4-FFF2-40B4-BE49-F238E27FC236}">
              <a16:creationId xmlns:a16="http://schemas.microsoft.com/office/drawing/2014/main" id="{179DCEC8-D1AC-8BCA-A75D-F7814CE56D41}"/>
            </a:ext>
          </a:extLst>
        </xdr:cNvPr>
        <xdr:cNvSpPr/>
      </xdr:nvSpPr>
      <xdr:spPr>
        <a:xfrm>
          <a:off x="5634038" y="13144500"/>
          <a:ext cx="233362" cy="190500"/>
        </a:xfrm>
        <a:prstGeom prst="ellips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0</xdr:colOff>
      <xdr:row>57</xdr:row>
      <xdr:rowOff>95250</xdr:rowOff>
    </xdr:from>
    <xdr:to>
      <xdr:col>7</xdr:col>
      <xdr:colOff>304800</xdr:colOff>
      <xdr:row>69</xdr:row>
      <xdr:rowOff>95250</xdr:rowOff>
    </xdr:to>
    <xdr:cxnSp macro="">
      <xdr:nvCxnSpPr>
        <xdr:cNvPr id="636" name="Straight Connector 635">
          <a:extLst>
            <a:ext uri="{FF2B5EF4-FFF2-40B4-BE49-F238E27FC236}">
              <a16:creationId xmlns:a16="http://schemas.microsoft.com/office/drawing/2014/main" id="{4DE81450-F624-8675-5B20-C629DEA989C2}"/>
            </a:ext>
          </a:extLst>
        </xdr:cNvPr>
        <xdr:cNvCxnSpPr/>
      </xdr:nvCxnSpPr>
      <xdr:spPr>
        <a:xfrm>
          <a:off x="3933825" y="10953750"/>
          <a:ext cx="304800" cy="2286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69</xdr:row>
      <xdr:rowOff>95250</xdr:rowOff>
    </xdr:from>
    <xdr:to>
      <xdr:col>8</xdr:col>
      <xdr:colOff>0</xdr:colOff>
      <xdr:row>69</xdr:row>
      <xdr:rowOff>95250</xdr:rowOff>
    </xdr:to>
    <xdr:cxnSp macro="">
      <xdr:nvCxnSpPr>
        <xdr:cNvPr id="637" name="Straight Connector 636">
          <a:extLst>
            <a:ext uri="{FF2B5EF4-FFF2-40B4-BE49-F238E27FC236}">
              <a16:creationId xmlns:a16="http://schemas.microsoft.com/office/drawing/2014/main" id="{CEF5553E-50A8-F7EE-A6A1-B12D5FD7D7D7}"/>
            </a:ext>
          </a:extLst>
        </xdr:cNvPr>
        <xdr:cNvCxnSpPr/>
      </xdr:nvCxnSpPr>
      <xdr:spPr>
        <a:xfrm>
          <a:off x="4238625" y="1323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41</xdr:row>
      <xdr:rowOff>95250</xdr:rowOff>
    </xdr:from>
    <xdr:to>
      <xdr:col>12</xdr:col>
      <xdr:colOff>140018</xdr:colOff>
      <xdr:row>41</xdr:row>
      <xdr:rowOff>95250</xdr:rowOff>
    </xdr:to>
    <xdr:cxnSp macro="">
      <xdr:nvCxnSpPr>
        <xdr:cNvPr id="638" name="Straight Connector 637">
          <a:extLst>
            <a:ext uri="{FF2B5EF4-FFF2-40B4-BE49-F238E27FC236}">
              <a16:creationId xmlns:a16="http://schemas.microsoft.com/office/drawing/2014/main" id="{39A093F3-A376-E194-A452-57098368B531}"/>
            </a:ext>
          </a:extLst>
        </xdr:cNvPr>
        <xdr:cNvCxnSpPr/>
      </xdr:nvCxnSpPr>
      <xdr:spPr>
        <a:xfrm>
          <a:off x="7572375" y="7905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40</xdr:row>
      <xdr:rowOff>115729</xdr:rowOff>
    </xdr:from>
    <xdr:to>
      <xdr:col>13</xdr:col>
      <xdr:colOff>56645</xdr:colOff>
      <xdr:row>42</xdr:row>
      <xdr:rowOff>20479</xdr:rowOff>
    </xdr:to>
    <xdr:sp macro="[1]!selectNode21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078B596E-F873-261A-4AC8-EB338C916E52}"/>
            </a:ext>
          </a:extLst>
        </xdr:cNvPr>
        <xdr:cNvSpPr/>
      </xdr:nvSpPr>
      <xdr:spPr>
        <a:xfrm rot="16200000">
          <a:off x="7789517" y="7715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41</xdr:row>
      <xdr:rowOff>95250</xdr:rowOff>
    </xdr:from>
    <xdr:to>
      <xdr:col>10</xdr:col>
      <xdr:colOff>304800</xdr:colOff>
      <xdr:row>45</xdr:row>
      <xdr:rowOff>95250</xdr:rowOff>
    </xdr:to>
    <xdr:cxnSp macro="">
      <xdr:nvCxnSpPr>
        <xdr:cNvPr id="640" name="Straight Connector 639">
          <a:extLst>
            <a:ext uri="{FF2B5EF4-FFF2-40B4-BE49-F238E27FC236}">
              <a16:creationId xmlns:a16="http://schemas.microsoft.com/office/drawing/2014/main" id="{22268675-6A0E-B6A2-4A1D-70399BD7D3EE}"/>
            </a:ext>
          </a:extLst>
        </xdr:cNvPr>
        <xdr:cNvCxnSpPr/>
      </xdr:nvCxnSpPr>
      <xdr:spPr>
        <a:xfrm flipV="1">
          <a:off x="5867400" y="7905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41</xdr:row>
      <xdr:rowOff>95250</xdr:rowOff>
    </xdr:from>
    <xdr:to>
      <xdr:col>11</xdr:col>
      <xdr:colOff>0</xdr:colOff>
      <xdr:row>41</xdr:row>
      <xdr:rowOff>95250</xdr:rowOff>
    </xdr:to>
    <xdr:cxnSp macro="">
      <xdr:nvCxnSpPr>
        <xdr:cNvPr id="641" name="Straight Connector 640">
          <a:extLst>
            <a:ext uri="{FF2B5EF4-FFF2-40B4-BE49-F238E27FC236}">
              <a16:creationId xmlns:a16="http://schemas.microsoft.com/office/drawing/2014/main" id="{50351616-7A86-7D77-0F83-E4248C442924}"/>
            </a:ext>
          </a:extLst>
        </xdr:cNvPr>
        <xdr:cNvCxnSpPr/>
      </xdr:nvCxnSpPr>
      <xdr:spPr>
        <a:xfrm>
          <a:off x="6172200" y="7905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45</xdr:row>
      <xdr:rowOff>95250</xdr:rowOff>
    </xdr:from>
    <xdr:to>
      <xdr:col>12</xdr:col>
      <xdr:colOff>140018</xdr:colOff>
      <xdr:row>45</xdr:row>
      <xdr:rowOff>95250</xdr:rowOff>
    </xdr:to>
    <xdr:cxnSp macro="">
      <xdr:nvCxnSpPr>
        <xdr:cNvPr id="642" name="Straight Connector 641">
          <a:extLst>
            <a:ext uri="{FF2B5EF4-FFF2-40B4-BE49-F238E27FC236}">
              <a16:creationId xmlns:a16="http://schemas.microsoft.com/office/drawing/2014/main" id="{65941543-4717-331F-8FC4-7B769F061201}"/>
            </a:ext>
          </a:extLst>
        </xdr:cNvPr>
        <xdr:cNvCxnSpPr/>
      </xdr:nvCxnSpPr>
      <xdr:spPr>
        <a:xfrm>
          <a:off x="7572375" y="8667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44</xdr:row>
      <xdr:rowOff>115729</xdr:rowOff>
    </xdr:from>
    <xdr:to>
      <xdr:col>13</xdr:col>
      <xdr:colOff>56645</xdr:colOff>
      <xdr:row>46</xdr:row>
      <xdr:rowOff>20479</xdr:rowOff>
    </xdr:to>
    <xdr:sp macro="[1]!selectNode22" textlink="">
      <xdr:nvSpPr>
        <xdr:cNvPr id="643" name="Isosceles Triangle 642">
          <a:extLst>
            <a:ext uri="{FF2B5EF4-FFF2-40B4-BE49-F238E27FC236}">
              <a16:creationId xmlns:a16="http://schemas.microsoft.com/office/drawing/2014/main" id="{1371D9FE-5293-8C0F-5CDF-D286F95662C2}"/>
            </a:ext>
          </a:extLst>
        </xdr:cNvPr>
        <xdr:cNvSpPr/>
      </xdr:nvSpPr>
      <xdr:spPr>
        <a:xfrm rot="16200000">
          <a:off x="7789517" y="8477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45</xdr:row>
      <xdr:rowOff>95250</xdr:rowOff>
    </xdr:from>
    <xdr:to>
      <xdr:col>10</xdr:col>
      <xdr:colOff>304800</xdr:colOff>
      <xdr:row>45</xdr:row>
      <xdr:rowOff>95250</xdr:rowOff>
    </xdr:to>
    <xdr:cxnSp macro="">
      <xdr:nvCxnSpPr>
        <xdr:cNvPr id="644" name="Straight Connector 643">
          <a:extLst>
            <a:ext uri="{FF2B5EF4-FFF2-40B4-BE49-F238E27FC236}">
              <a16:creationId xmlns:a16="http://schemas.microsoft.com/office/drawing/2014/main" id="{9E760C52-0806-70E0-E0BF-8CD31A0B94CA}"/>
            </a:ext>
          </a:extLst>
        </xdr:cNvPr>
        <xdr:cNvCxnSpPr/>
      </xdr:nvCxnSpPr>
      <xdr:spPr>
        <a:xfrm>
          <a:off x="5867400" y="8667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45</xdr:row>
      <xdr:rowOff>95250</xdr:rowOff>
    </xdr:from>
    <xdr:to>
      <xdr:col>11</xdr:col>
      <xdr:colOff>0</xdr:colOff>
      <xdr:row>45</xdr:row>
      <xdr:rowOff>95250</xdr:rowOff>
    </xdr:to>
    <xdr:cxnSp macro="">
      <xdr:nvCxnSpPr>
        <xdr:cNvPr id="645" name="Straight Connector 644">
          <a:extLst>
            <a:ext uri="{FF2B5EF4-FFF2-40B4-BE49-F238E27FC236}">
              <a16:creationId xmlns:a16="http://schemas.microsoft.com/office/drawing/2014/main" id="{5B44CE99-7902-4EDA-F5C9-B95E90FFDD02}"/>
            </a:ext>
          </a:extLst>
        </xdr:cNvPr>
        <xdr:cNvCxnSpPr/>
      </xdr:nvCxnSpPr>
      <xdr:spPr>
        <a:xfrm>
          <a:off x="6172200" y="8667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49</xdr:row>
      <xdr:rowOff>95250</xdr:rowOff>
    </xdr:from>
    <xdr:to>
      <xdr:col>12</xdr:col>
      <xdr:colOff>140018</xdr:colOff>
      <xdr:row>49</xdr:row>
      <xdr:rowOff>95250</xdr:rowOff>
    </xdr:to>
    <xdr:cxnSp macro="">
      <xdr:nvCxnSpPr>
        <xdr:cNvPr id="646" name="Straight Connector 645">
          <a:extLst>
            <a:ext uri="{FF2B5EF4-FFF2-40B4-BE49-F238E27FC236}">
              <a16:creationId xmlns:a16="http://schemas.microsoft.com/office/drawing/2014/main" id="{46932422-B8FA-03DF-CCC6-C2B201634A50}"/>
            </a:ext>
          </a:extLst>
        </xdr:cNvPr>
        <xdr:cNvCxnSpPr/>
      </xdr:nvCxnSpPr>
      <xdr:spPr>
        <a:xfrm>
          <a:off x="7572375" y="9429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48</xdr:row>
      <xdr:rowOff>115729</xdr:rowOff>
    </xdr:from>
    <xdr:to>
      <xdr:col>13</xdr:col>
      <xdr:colOff>56645</xdr:colOff>
      <xdr:row>50</xdr:row>
      <xdr:rowOff>20479</xdr:rowOff>
    </xdr:to>
    <xdr:sp macro="[1]!selectNode23" textlink="">
      <xdr:nvSpPr>
        <xdr:cNvPr id="647" name="Isosceles Triangle 646">
          <a:extLst>
            <a:ext uri="{FF2B5EF4-FFF2-40B4-BE49-F238E27FC236}">
              <a16:creationId xmlns:a16="http://schemas.microsoft.com/office/drawing/2014/main" id="{F968B1F6-C322-F1D0-42F4-E91B1670F06C}"/>
            </a:ext>
          </a:extLst>
        </xdr:cNvPr>
        <xdr:cNvSpPr/>
      </xdr:nvSpPr>
      <xdr:spPr>
        <a:xfrm rot="16200000">
          <a:off x="7789517" y="9239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45</xdr:row>
      <xdr:rowOff>95250</xdr:rowOff>
    </xdr:from>
    <xdr:to>
      <xdr:col>10</xdr:col>
      <xdr:colOff>304800</xdr:colOff>
      <xdr:row>49</xdr:row>
      <xdr:rowOff>95250</xdr:rowOff>
    </xdr:to>
    <xdr:cxnSp macro="">
      <xdr:nvCxnSpPr>
        <xdr:cNvPr id="648" name="Straight Connector 647">
          <a:extLst>
            <a:ext uri="{FF2B5EF4-FFF2-40B4-BE49-F238E27FC236}">
              <a16:creationId xmlns:a16="http://schemas.microsoft.com/office/drawing/2014/main" id="{C4A97E81-6519-2F10-382F-CE223E84E78E}"/>
            </a:ext>
          </a:extLst>
        </xdr:cNvPr>
        <xdr:cNvCxnSpPr/>
      </xdr:nvCxnSpPr>
      <xdr:spPr>
        <a:xfrm>
          <a:off x="5867400" y="8667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49</xdr:row>
      <xdr:rowOff>95250</xdr:rowOff>
    </xdr:from>
    <xdr:to>
      <xdr:col>11</xdr:col>
      <xdr:colOff>0</xdr:colOff>
      <xdr:row>49</xdr:row>
      <xdr:rowOff>95250</xdr:rowOff>
    </xdr:to>
    <xdr:cxnSp macro="">
      <xdr:nvCxnSpPr>
        <xdr:cNvPr id="649" name="Straight Connector 648">
          <a:extLst>
            <a:ext uri="{FF2B5EF4-FFF2-40B4-BE49-F238E27FC236}">
              <a16:creationId xmlns:a16="http://schemas.microsoft.com/office/drawing/2014/main" id="{AF51F765-2F7F-D263-F431-0C634BFDC728}"/>
            </a:ext>
          </a:extLst>
        </xdr:cNvPr>
        <xdr:cNvCxnSpPr/>
      </xdr:nvCxnSpPr>
      <xdr:spPr>
        <a:xfrm>
          <a:off x="6172200" y="942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53</xdr:row>
      <xdr:rowOff>95250</xdr:rowOff>
    </xdr:from>
    <xdr:to>
      <xdr:col>12</xdr:col>
      <xdr:colOff>140018</xdr:colOff>
      <xdr:row>53</xdr:row>
      <xdr:rowOff>95250</xdr:rowOff>
    </xdr:to>
    <xdr:cxnSp macro="">
      <xdr:nvCxnSpPr>
        <xdr:cNvPr id="650" name="Straight Connector 649">
          <a:extLst>
            <a:ext uri="{FF2B5EF4-FFF2-40B4-BE49-F238E27FC236}">
              <a16:creationId xmlns:a16="http://schemas.microsoft.com/office/drawing/2014/main" id="{5BB1C616-38A6-8A8A-FB5A-F115F33EA88E}"/>
            </a:ext>
          </a:extLst>
        </xdr:cNvPr>
        <xdr:cNvCxnSpPr/>
      </xdr:nvCxnSpPr>
      <xdr:spPr>
        <a:xfrm>
          <a:off x="7572375" y="10191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52</xdr:row>
      <xdr:rowOff>115729</xdr:rowOff>
    </xdr:from>
    <xdr:to>
      <xdr:col>13</xdr:col>
      <xdr:colOff>56645</xdr:colOff>
      <xdr:row>54</xdr:row>
      <xdr:rowOff>20479</xdr:rowOff>
    </xdr:to>
    <xdr:sp macro="[1]!selectNode24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F2AB414D-EB89-76CF-C76D-72C4194C9DF5}"/>
            </a:ext>
          </a:extLst>
        </xdr:cNvPr>
        <xdr:cNvSpPr/>
      </xdr:nvSpPr>
      <xdr:spPr>
        <a:xfrm rot="16200000">
          <a:off x="7789517" y="10001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53</xdr:row>
      <xdr:rowOff>95250</xdr:rowOff>
    </xdr:from>
    <xdr:to>
      <xdr:col>10</xdr:col>
      <xdr:colOff>304800</xdr:colOff>
      <xdr:row>57</xdr:row>
      <xdr:rowOff>95250</xdr:rowOff>
    </xdr:to>
    <xdr:cxnSp macro="">
      <xdr:nvCxnSpPr>
        <xdr:cNvPr id="652" name="Straight Connector 651">
          <a:extLst>
            <a:ext uri="{FF2B5EF4-FFF2-40B4-BE49-F238E27FC236}">
              <a16:creationId xmlns:a16="http://schemas.microsoft.com/office/drawing/2014/main" id="{E281FDFD-E94C-8EC9-BF43-02B44D2C3DDA}"/>
            </a:ext>
          </a:extLst>
        </xdr:cNvPr>
        <xdr:cNvCxnSpPr/>
      </xdr:nvCxnSpPr>
      <xdr:spPr>
        <a:xfrm flipV="1">
          <a:off x="5867400" y="10191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53</xdr:row>
      <xdr:rowOff>95250</xdr:rowOff>
    </xdr:from>
    <xdr:to>
      <xdr:col>11</xdr:col>
      <xdr:colOff>0</xdr:colOff>
      <xdr:row>53</xdr:row>
      <xdr:rowOff>95250</xdr:rowOff>
    </xdr:to>
    <xdr:cxnSp macro="">
      <xdr:nvCxnSpPr>
        <xdr:cNvPr id="653" name="Straight Connector 652">
          <a:extLst>
            <a:ext uri="{FF2B5EF4-FFF2-40B4-BE49-F238E27FC236}">
              <a16:creationId xmlns:a16="http://schemas.microsoft.com/office/drawing/2014/main" id="{365425D5-74D9-3EE5-6726-835E59E0310A}"/>
            </a:ext>
          </a:extLst>
        </xdr:cNvPr>
        <xdr:cNvCxnSpPr/>
      </xdr:nvCxnSpPr>
      <xdr:spPr>
        <a:xfrm>
          <a:off x="6172200" y="10191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95250</xdr:rowOff>
    </xdr:from>
    <xdr:to>
      <xdr:col>12</xdr:col>
      <xdr:colOff>140018</xdr:colOff>
      <xdr:row>57</xdr:row>
      <xdr:rowOff>95250</xdr:rowOff>
    </xdr:to>
    <xdr:cxnSp macro="">
      <xdr:nvCxnSpPr>
        <xdr:cNvPr id="654" name="Straight Connector 653">
          <a:extLst>
            <a:ext uri="{FF2B5EF4-FFF2-40B4-BE49-F238E27FC236}">
              <a16:creationId xmlns:a16="http://schemas.microsoft.com/office/drawing/2014/main" id="{CB9DF8FC-5C2C-E166-8FA8-426E0C8CF30F}"/>
            </a:ext>
          </a:extLst>
        </xdr:cNvPr>
        <xdr:cNvCxnSpPr/>
      </xdr:nvCxnSpPr>
      <xdr:spPr>
        <a:xfrm>
          <a:off x="7572375" y="10953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56</xdr:row>
      <xdr:rowOff>115729</xdr:rowOff>
    </xdr:from>
    <xdr:to>
      <xdr:col>13</xdr:col>
      <xdr:colOff>56645</xdr:colOff>
      <xdr:row>58</xdr:row>
      <xdr:rowOff>20479</xdr:rowOff>
    </xdr:to>
    <xdr:sp macro="[1]!selectNode25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0C56C97B-AB95-E814-D165-289FA76403EC}"/>
            </a:ext>
          </a:extLst>
        </xdr:cNvPr>
        <xdr:cNvSpPr/>
      </xdr:nvSpPr>
      <xdr:spPr>
        <a:xfrm rot="16200000">
          <a:off x="7789517" y="10763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57</xdr:row>
      <xdr:rowOff>95250</xdr:rowOff>
    </xdr:from>
    <xdr:to>
      <xdr:col>10</xdr:col>
      <xdr:colOff>304800</xdr:colOff>
      <xdr:row>57</xdr:row>
      <xdr:rowOff>95250</xdr:rowOff>
    </xdr:to>
    <xdr:cxnSp macro="">
      <xdr:nvCxnSpPr>
        <xdr:cNvPr id="656" name="Straight Connector 655">
          <a:extLst>
            <a:ext uri="{FF2B5EF4-FFF2-40B4-BE49-F238E27FC236}">
              <a16:creationId xmlns:a16="http://schemas.microsoft.com/office/drawing/2014/main" id="{584E04ED-6F00-36B5-DA94-3D350C7D5D4C}"/>
            </a:ext>
          </a:extLst>
        </xdr:cNvPr>
        <xdr:cNvCxnSpPr/>
      </xdr:nvCxnSpPr>
      <xdr:spPr>
        <a:xfrm>
          <a:off x="5867400" y="1095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57</xdr:row>
      <xdr:rowOff>95250</xdr:rowOff>
    </xdr:from>
    <xdr:to>
      <xdr:col>11</xdr:col>
      <xdr:colOff>0</xdr:colOff>
      <xdr:row>57</xdr:row>
      <xdr:rowOff>95250</xdr:rowOff>
    </xdr:to>
    <xdr:cxnSp macro="">
      <xdr:nvCxnSpPr>
        <xdr:cNvPr id="657" name="Straight Connector 656">
          <a:extLst>
            <a:ext uri="{FF2B5EF4-FFF2-40B4-BE49-F238E27FC236}">
              <a16:creationId xmlns:a16="http://schemas.microsoft.com/office/drawing/2014/main" id="{1CBC05CD-4DBF-4C12-9737-CDF2352F6E8F}"/>
            </a:ext>
          </a:extLst>
        </xdr:cNvPr>
        <xdr:cNvCxnSpPr/>
      </xdr:nvCxnSpPr>
      <xdr:spPr>
        <a:xfrm>
          <a:off x="6172200" y="10953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61</xdr:row>
      <xdr:rowOff>95250</xdr:rowOff>
    </xdr:from>
    <xdr:to>
      <xdr:col>12</xdr:col>
      <xdr:colOff>140018</xdr:colOff>
      <xdr:row>61</xdr:row>
      <xdr:rowOff>95250</xdr:rowOff>
    </xdr:to>
    <xdr:cxnSp macro="">
      <xdr:nvCxnSpPr>
        <xdr:cNvPr id="658" name="Straight Connector 657">
          <a:extLst>
            <a:ext uri="{FF2B5EF4-FFF2-40B4-BE49-F238E27FC236}">
              <a16:creationId xmlns:a16="http://schemas.microsoft.com/office/drawing/2014/main" id="{B92B2A3A-9EE5-D784-5894-F304AB231644}"/>
            </a:ext>
          </a:extLst>
        </xdr:cNvPr>
        <xdr:cNvCxnSpPr/>
      </xdr:nvCxnSpPr>
      <xdr:spPr>
        <a:xfrm>
          <a:off x="7572375" y="11715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60</xdr:row>
      <xdr:rowOff>115729</xdr:rowOff>
    </xdr:from>
    <xdr:to>
      <xdr:col>13</xdr:col>
      <xdr:colOff>56645</xdr:colOff>
      <xdr:row>62</xdr:row>
      <xdr:rowOff>20479</xdr:rowOff>
    </xdr:to>
    <xdr:sp macro="[1]!selectNode26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0ED8EB0A-4BB2-C121-4E1A-FC057FE5D40E}"/>
            </a:ext>
          </a:extLst>
        </xdr:cNvPr>
        <xdr:cNvSpPr/>
      </xdr:nvSpPr>
      <xdr:spPr>
        <a:xfrm rot="16200000">
          <a:off x="7789517" y="11525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57</xdr:row>
      <xdr:rowOff>95250</xdr:rowOff>
    </xdr:from>
    <xdr:to>
      <xdr:col>10</xdr:col>
      <xdr:colOff>304800</xdr:colOff>
      <xdr:row>61</xdr:row>
      <xdr:rowOff>95250</xdr:rowOff>
    </xdr:to>
    <xdr:cxnSp macro="">
      <xdr:nvCxnSpPr>
        <xdr:cNvPr id="660" name="Straight Connector 659">
          <a:extLst>
            <a:ext uri="{FF2B5EF4-FFF2-40B4-BE49-F238E27FC236}">
              <a16:creationId xmlns:a16="http://schemas.microsoft.com/office/drawing/2014/main" id="{C1791EE6-0914-7CD8-94BB-CC15A9F015AA}"/>
            </a:ext>
          </a:extLst>
        </xdr:cNvPr>
        <xdr:cNvCxnSpPr/>
      </xdr:nvCxnSpPr>
      <xdr:spPr>
        <a:xfrm>
          <a:off x="5867400" y="10953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61</xdr:row>
      <xdr:rowOff>95250</xdr:rowOff>
    </xdr:from>
    <xdr:to>
      <xdr:col>11</xdr:col>
      <xdr:colOff>0</xdr:colOff>
      <xdr:row>61</xdr:row>
      <xdr:rowOff>95250</xdr:rowOff>
    </xdr:to>
    <xdr:cxnSp macro="">
      <xdr:nvCxnSpPr>
        <xdr:cNvPr id="661" name="Straight Connector 660">
          <a:extLst>
            <a:ext uri="{FF2B5EF4-FFF2-40B4-BE49-F238E27FC236}">
              <a16:creationId xmlns:a16="http://schemas.microsoft.com/office/drawing/2014/main" id="{E507FDE8-F8C5-6D02-F0FC-AC9B956637F0}"/>
            </a:ext>
          </a:extLst>
        </xdr:cNvPr>
        <xdr:cNvCxnSpPr/>
      </xdr:nvCxnSpPr>
      <xdr:spPr>
        <a:xfrm>
          <a:off x="6172200" y="11715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65</xdr:row>
      <xdr:rowOff>95250</xdr:rowOff>
    </xdr:from>
    <xdr:to>
      <xdr:col>12</xdr:col>
      <xdr:colOff>140018</xdr:colOff>
      <xdr:row>65</xdr:row>
      <xdr:rowOff>95250</xdr:rowOff>
    </xdr:to>
    <xdr:cxnSp macro="">
      <xdr:nvCxnSpPr>
        <xdr:cNvPr id="662" name="Straight Connector 661">
          <a:extLst>
            <a:ext uri="{FF2B5EF4-FFF2-40B4-BE49-F238E27FC236}">
              <a16:creationId xmlns:a16="http://schemas.microsoft.com/office/drawing/2014/main" id="{AF394DA7-FFA0-FBAE-F98A-4FC55960656A}"/>
            </a:ext>
          </a:extLst>
        </xdr:cNvPr>
        <xdr:cNvCxnSpPr/>
      </xdr:nvCxnSpPr>
      <xdr:spPr>
        <a:xfrm>
          <a:off x="7572375" y="12477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64</xdr:row>
      <xdr:rowOff>115729</xdr:rowOff>
    </xdr:from>
    <xdr:to>
      <xdr:col>13</xdr:col>
      <xdr:colOff>56645</xdr:colOff>
      <xdr:row>66</xdr:row>
      <xdr:rowOff>20479</xdr:rowOff>
    </xdr:to>
    <xdr:sp macro="[1]!selectNode27" textlink="">
      <xdr:nvSpPr>
        <xdr:cNvPr id="663" name="Isosceles Triangle 662">
          <a:extLst>
            <a:ext uri="{FF2B5EF4-FFF2-40B4-BE49-F238E27FC236}">
              <a16:creationId xmlns:a16="http://schemas.microsoft.com/office/drawing/2014/main" id="{BBAAD41D-207F-FA25-C787-CCD154A17476}"/>
            </a:ext>
          </a:extLst>
        </xdr:cNvPr>
        <xdr:cNvSpPr/>
      </xdr:nvSpPr>
      <xdr:spPr>
        <a:xfrm rot="16200000">
          <a:off x="7789517" y="12287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65</xdr:row>
      <xdr:rowOff>95250</xdr:rowOff>
    </xdr:from>
    <xdr:to>
      <xdr:col>10</xdr:col>
      <xdr:colOff>304800</xdr:colOff>
      <xdr:row>69</xdr:row>
      <xdr:rowOff>95250</xdr:rowOff>
    </xdr:to>
    <xdr:cxnSp macro="">
      <xdr:nvCxnSpPr>
        <xdr:cNvPr id="664" name="Straight Connector 663">
          <a:extLst>
            <a:ext uri="{FF2B5EF4-FFF2-40B4-BE49-F238E27FC236}">
              <a16:creationId xmlns:a16="http://schemas.microsoft.com/office/drawing/2014/main" id="{8BDC6091-5FD6-A481-CD54-1A8FFF4AA2F7}"/>
            </a:ext>
          </a:extLst>
        </xdr:cNvPr>
        <xdr:cNvCxnSpPr/>
      </xdr:nvCxnSpPr>
      <xdr:spPr>
        <a:xfrm flipV="1">
          <a:off x="5867400" y="12477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65</xdr:row>
      <xdr:rowOff>95250</xdr:rowOff>
    </xdr:from>
    <xdr:to>
      <xdr:col>11</xdr:col>
      <xdr:colOff>0</xdr:colOff>
      <xdr:row>65</xdr:row>
      <xdr:rowOff>95250</xdr:rowOff>
    </xdr:to>
    <xdr:cxnSp macro="">
      <xdr:nvCxnSpPr>
        <xdr:cNvPr id="665" name="Straight Connector 664">
          <a:extLst>
            <a:ext uri="{FF2B5EF4-FFF2-40B4-BE49-F238E27FC236}">
              <a16:creationId xmlns:a16="http://schemas.microsoft.com/office/drawing/2014/main" id="{302E103A-E345-25A8-0B63-E2DB2F96FD08}"/>
            </a:ext>
          </a:extLst>
        </xdr:cNvPr>
        <xdr:cNvCxnSpPr/>
      </xdr:nvCxnSpPr>
      <xdr:spPr>
        <a:xfrm>
          <a:off x="6172200" y="12477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69</xdr:row>
      <xdr:rowOff>95250</xdr:rowOff>
    </xdr:from>
    <xdr:to>
      <xdr:col>12</xdr:col>
      <xdr:colOff>140018</xdr:colOff>
      <xdr:row>69</xdr:row>
      <xdr:rowOff>95250</xdr:rowOff>
    </xdr:to>
    <xdr:cxnSp macro="">
      <xdr:nvCxnSpPr>
        <xdr:cNvPr id="666" name="Straight Connector 665">
          <a:extLst>
            <a:ext uri="{FF2B5EF4-FFF2-40B4-BE49-F238E27FC236}">
              <a16:creationId xmlns:a16="http://schemas.microsoft.com/office/drawing/2014/main" id="{CB9BE5FA-2787-0E73-A9BB-7B66928DD543}"/>
            </a:ext>
          </a:extLst>
        </xdr:cNvPr>
        <xdr:cNvCxnSpPr/>
      </xdr:nvCxnSpPr>
      <xdr:spPr>
        <a:xfrm>
          <a:off x="7572375" y="13239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68</xdr:row>
      <xdr:rowOff>115729</xdr:rowOff>
    </xdr:from>
    <xdr:to>
      <xdr:col>13</xdr:col>
      <xdr:colOff>56645</xdr:colOff>
      <xdr:row>70</xdr:row>
      <xdr:rowOff>20479</xdr:rowOff>
    </xdr:to>
    <xdr:sp macro="[1]!selectNode28" textlink="">
      <xdr:nvSpPr>
        <xdr:cNvPr id="667" name="Isosceles Triangle 666">
          <a:extLst>
            <a:ext uri="{FF2B5EF4-FFF2-40B4-BE49-F238E27FC236}">
              <a16:creationId xmlns:a16="http://schemas.microsoft.com/office/drawing/2014/main" id="{F12F5994-30EC-C1B0-C61F-E0ADDD60EF6C}"/>
            </a:ext>
          </a:extLst>
        </xdr:cNvPr>
        <xdr:cNvSpPr/>
      </xdr:nvSpPr>
      <xdr:spPr>
        <a:xfrm rot="16200000">
          <a:off x="7789517" y="13049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69</xdr:row>
      <xdr:rowOff>95250</xdr:rowOff>
    </xdr:from>
    <xdr:to>
      <xdr:col>10</xdr:col>
      <xdr:colOff>304800</xdr:colOff>
      <xdr:row>69</xdr:row>
      <xdr:rowOff>95250</xdr:rowOff>
    </xdr:to>
    <xdr:cxnSp macro="">
      <xdr:nvCxnSpPr>
        <xdr:cNvPr id="668" name="Straight Connector 667">
          <a:extLst>
            <a:ext uri="{FF2B5EF4-FFF2-40B4-BE49-F238E27FC236}">
              <a16:creationId xmlns:a16="http://schemas.microsoft.com/office/drawing/2014/main" id="{776D2A0D-AA97-1B12-18D3-B770759A918E}"/>
            </a:ext>
          </a:extLst>
        </xdr:cNvPr>
        <xdr:cNvCxnSpPr/>
      </xdr:nvCxnSpPr>
      <xdr:spPr>
        <a:xfrm>
          <a:off x="5867400" y="1323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69</xdr:row>
      <xdr:rowOff>95250</xdr:rowOff>
    </xdr:from>
    <xdr:to>
      <xdr:col>11</xdr:col>
      <xdr:colOff>0</xdr:colOff>
      <xdr:row>69</xdr:row>
      <xdr:rowOff>95250</xdr:rowOff>
    </xdr:to>
    <xdr:cxnSp macro="">
      <xdr:nvCxnSpPr>
        <xdr:cNvPr id="669" name="Straight Connector 668">
          <a:extLst>
            <a:ext uri="{FF2B5EF4-FFF2-40B4-BE49-F238E27FC236}">
              <a16:creationId xmlns:a16="http://schemas.microsoft.com/office/drawing/2014/main" id="{32DA74CA-4C6D-2393-C55B-A3BF50F3FADC}"/>
            </a:ext>
          </a:extLst>
        </xdr:cNvPr>
        <xdr:cNvCxnSpPr/>
      </xdr:nvCxnSpPr>
      <xdr:spPr>
        <a:xfrm>
          <a:off x="6172200" y="13239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73</xdr:row>
      <xdr:rowOff>95250</xdr:rowOff>
    </xdr:from>
    <xdr:to>
      <xdr:col>12</xdr:col>
      <xdr:colOff>140018</xdr:colOff>
      <xdr:row>73</xdr:row>
      <xdr:rowOff>95250</xdr:rowOff>
    </xdr:to>
    <xdr:cxnSp macro="">
      <xdr:nvCxnSpPr>
        <xdr:cNvPr id="670" name="Straight Connector 669">
          <a:extLst>
            <a:ext uri="{FF2B5EF4-FFF2-40B4-BE49-F238E27FC236}">
              <a16:creationId xmlns:a16="http://schemas.microsoft.com/office/drawing/2014/main" id="{94642DD4-5B00-AE48-9172-8EF1BC5BA04A}"/>
            </a:ext>
          </a:extLst>
        </xdr:cNvPr>
        <xdr:cNvCxnSpPr/>
      </xdr:nvCxnSpPr>
      <xdr:spPr>
        <a:xfrm>
          <a:off x="7572375" y="14001750"/>
          <a:ext cx="14001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196663</xdr:colOff>
      <xdr:row>72</xdr:row>
      <xdr:rowOff>115729</xdr:rowOff>
    </xdr:from>
    <xdr:to>
      <xdr:col>13</xdr:col>
      <xdr:colOff>56645</xdr:colOff>
      <xdr:row>74</xdr:row>
      <xdr:rowOff>20479</xdr:rowOff>
    </xdr:to>
    <xdr:sp macro="[1]!selectNode29" textlink="">
      <xdr:nvSpPr>
        <xdr:cNvPr id="671" name="Isosceles Triangle 670">
          <a:extLst>
            <a:ext uri="{FF2B5EF4-FFF2-40B4-BE49-F238E27FC236}">
              <a16:creationId xmlns:a16="http://schemas.microsoft.com/office/drawing/2014/main" id="{AA687E80-A730-7F5D-655D-0DDD86D0A906}"/>
            </a:ext>
          </a:extLst>
        </xdr:cNvPr>
        <xdr:cNvSpPr/>
      </xdr:nvSpPr>
      <xdr:spPr>
        <a:xfrm rot="16200000">
          <a:off x="7789517" y="13811250"/>
          <a:ext cx="285750" cy="326707"/>
        </a:xfrm>
        <a:prstGeom prst="triangle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69</xdr:row>
      <xdr:rowOff>95250</xdr:rowOff>
    </xdr:from>
    <xdr:to>
      <xdr:col>10</xdr:col>
      <xdr:colOff>304800</xdr:colOff>
      <xdr:row>73</xdr:row>
      <xdr:rowOff>95250</xdr:rowOff>
    </xdr:to>
    <xdr:cxnSp macro="">
      <xdr:nvCxnSpPr>
        <xdr:cNvPr id="672" name="Straight Connector 671">
          <a:extLst>
            <a:ext uri="{FF2B5EF4-FFF2-40B4-BE49-F238E27FC236}">
              <a16:creationId xmlns:a16="http://schemas.microsoft.com/office/drawing/2014/main" id="{F41A0A02-FC89-EA6D-858F-AF8F8344F5E0}"/>
            </a:ext>
          </a:extLst>
        </xdr:cNvPr>
        <xdr:cNvCxnSpPr/>
      </xdr:nvCxnSpPr>
      <xdr:spPr>
        <a:xfrm>
          <a:off x="5867400" y="13239750"/>
          <a:ext cx="30480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73</xdr:row>
      <xdr:rowOff>95250</xdr:rowOff>
    </xdr:from>
    <xdr:to>
      <xdr:col>11</xdr:col>
      <xdr:colOff>0</xdr:colOff>
      <xdr:row>73</xdr:row>
      <xdr:rowOff>95250</xdr:rowOff>
    </xdr:to>
    <xdr:cxnSp macro="">
      <xdr:nvCxnSpPr>
        <xdr:cNvPr id="673" name="Straight Connector 672">
          <a:extLst>
            <a:ext uri="{FF2B5EF4-FFF2-40B4-BE49-F238E27FC236}">
              <a16:creationId xmlns:a16="http://schemas.microsoft.com/office/drawing/2014/main" id="{99F1F971-2BCD-3982-C0E7-0305587FB144}"/>
            </a:ext>
          </a:extLst>
        </xdr:cNvPr>
        <xdr:cNvCxnSpPr/>
      </xdr:nvCxnSpPr>
      <xdr:spPr>
        <a:xfrm>
          <a:off x="6172200" y="14001750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Excel%20QM%20v5.3\excelOMQMv5.xlam" TargetMode="External"/><Relationship Id="rId1" Type="http://schemas.openxmlformats.org/officeDocument/2006/relationships/externalLinkPath" Target="file:///C:\Program%20Files%20(x86)\Excel%20QM%20v5.3\excelOMQMv5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WShortPath"/>
      <sheetName val="HWMaxFlow"/>
      <sheetName val="V3-V4-V5 History"/>
      <sheetName val="ProjCrash"/>
      <sheetName val="Kanban"/>
      <sheetName val="Installation-wise, MSI,zip"/>
      <sheetName val="v5.2"/>
      <sheetName val="Mac"/>
      <sheetName val="Paste"/>
      <sheetName val="OnLive"/>
      <sheetName val="MenuSheetv5"/>
      <sheetName val="MenuHR9"/>
      <sheetName val="MenuListBox"/>
      <sheetName val="MenuFoster5"/>
      <sheetName val="MenuRSH10"/>
      <sheetName val="MenuRSH11"/>
      <sheetName val="MenuRSH12"/>
      <sheetName val="MenuTaylor10"/>
      <sheetName val="EOQ"/>
      <sheetName val="POQ"/>
      <sheetName val="multiBE"/>
      <sheetName val="ProbDist"/>
      <sheetName val="InvSSNorm"/>
      <sheetName val="WorkMeas"/>
      <sheetName val="Simulation"/>
      <sheetName val="Raw data"/>
      <sheetName val="Frequencies"/>
      <sheetName val="Prob dist"/>
      <sheetName val="Normal"/>
      <sheetName val="Reliability"/>
      <sheetName val="MRPData"/>
      <sheetName val="HJW"/>
      <sheetName val="sqc-1"/>
      <sheetName val="SQC"/>
      <sheetName val="LimitedPop"/>
      <sheetName val="Markov"/>
      <sheetName val="Trans_agg"/>
      <sheetName val="LP_max"/>
      <sheetName val="LP_min"/>
      <sheetName val="IP_max"/>
      <sheetName val="IP_min"/>
      <sheetName val="HWPert"/>
      <sheetName val="Trans_max"/>
      <sheetName val="Trans_min"/>
      <sheetName val="Assign_min"/>
      <sheetName val="Assign_max"/>
      <sheetName val="Game Theory"/>
      <sheetName val="excelOMQMv5"/>
    </sheetNames>
    <definedNames>
      <definedName name="dtformula"/>
      <definedName name="selectNode1"/>
      <definedName name="selectNode10"/>
      <definedName name="selectNode11"/>
      <definedName name="selectNode12"/>
      <definedName name="selectNode13"/>
      <definedName name="selectNode14"/>
      <definedName name="selectNode15"/>
      <definedName name="selectNode16"/>
      <definedName name="selectNode17"/>
      <definedName name="selectNode18"/>
      <definedName name="selectNode19"/>
      <definedName name="selectNode2"/>
      <definedName name="selectNode20"/>
      <definedName name="selectNode21"/>
      <definedName name="selectNode22"/>
      <definedName name="selectNode23"/>
      <definedName name="selectNode24"/>
      <definedName name="selectNode25"/>
      <definedName name="selectNode26"/>
      <definedName name="selectNode27"/>
      <definedName name="selectNode28"/>
      <definedName name="selectNode29"/>
      <definedName name="selectNode3"/>
      <definedName name="selectNode4"/>
      <definedName name="selectNode5"/>
      <definedName name="selectNode6"/>
      <definedName name="selectNode7"/>
      <definedName name="selectNode8"/>
      <definedName name="selectNode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9178-0A85-4A4A-A50B-725735EE1A0C}">
  <dimension ref="A1:N115"/>
  <sheetViews>
    <sheetView showGridLines="0" tabSelected="1" zoomScale="55" zoomScaleNormal="55" zoomScaleSheetLayoutView="100" zoomScalePageLayoutView="86" workbookViewId="0">
      <selection activeCell="C80" sqref="C80"/>
    </sheetView>
  </sheetViews>
  <sheetFormatPr defaultRowHeight="15" x14ac:dyDescent="0.25"/>
  <cols>
    <col min="1" max="1" width="7" style="3" customWidth="1"/>
    <col min="2" max="2" width="9.140625" style="3"/>
    <col min="3" max="3" width="10.28515625" style="3" bestFit="1" customWidth="1"/>
    <col min="4" max="4" width="7" style="3" customWidth="1"/>
    <col min="5" max="5" width="9.140625" style="3"/>
    <col min="6" max="6" width="9.42578125" style="3" bestFit="1" customWidth="1"/>
    <col min="7" max="7" width="7" style="3" customWidth="1"/>
    <col min="8" max="8" width="9.140625" style="3"/>
    <col min="9" max="9" width="12.85546875" style="3" bestFit="1" customWidth="1"/>
    <col min="10" max="10" width="7" style="3" customWidth="1"/>
    <col min="11" max="11" width="9.140625" style="3"/>
    <col min="12" max="12" width="16.42578125" style="3" bestFit="1" customWidth="1"/>
    <col min="13" max="13" width="7" style="3" customWidth="1"/>
    <col min="14" max="16384" width="9.140625" style="3"/>
  </cols>
  <sheetData>
    <row r="1" spans="1:14" x14ac:dyDescent="0.25">
      <c r="A1" s="9" t="s">
        <v>11</v>
      </c>
      <c r="B1" s="9"/>
      <c r="C1" s="9"/>
      <c r="D1" s="2"/>
      <c r="E1" s="2"/>
    </row>
    <row r="2" spans="1:14" x14ac:dyDescent="0.25">
      <c r="A2" s="1">
        <f>ROW(A86)</f>
        <v>86</v>
      </c>
      <c r="B2" s="1" t="s">
        <v>12</v>
      </c>
      <c r="C2" s="1"/>
      <c r="E2" s="2"/>
    </row>
    <row r="3" spans="1:14" x14ac:dyDescent="0.25">
      <c r="A3" s="10" t="s">
        <v>13</v>
      </c>
      <c r="B3" s="10"/>
      <c r="C3" s="10"/>
      <c r="E3" s="2"/>
    </row>
    <row r="5" spans="1:14" x14ac:dyDescent="0.25">
      <c r="A5" s="4"/>
      <c r="L5" s="6">
        <v>0.08</v>
      </c>
    </row>
    <row r="6" spans="1:14" x14ac:dyDescent="0.25">
      <c r="L6" s="7" t="s">
        <v>18</v>
      </c>
      <c r="M6" s="3">
        <v>9</v>
      </c>
      <c r="N6" s="3">
        <f>L7+I11+F23+C41</f>
        <v>660</v>
      </c>
    </row>
    <row r="7" spans="1:14" x14ac:dyDescent="0.25">
      <c r="A7" s="4"/>
      <c r="L7" s="6">
        <v>660</v>
      </c>
    </row>
    <row r="9" spans="1:14" x14ac:dyDescent="0.25">
      <c r="I9" s="6">
        <v>0.2</v>
      </c>
      <c r="J9" s="8">
        <f>L7*L5+L11*L9+L15*L13</f>
        <v>660</v>
      </c>
      <c r="L9" s="6">
        <v>0.43</v>
      </c>
    </row>
    <row r="10" spans="1:14" x14ac:dyDescent="0.25">
      <c r="I10" s="7" t="s">
        <v>21</v>
      </c>
      <c r="J10" s="3">
        <v>6</v>
      </c>
      <c r="L10" s="7" t="s">
        <v>19</v>
      </c>
      <c r="M10" s="3">
        <v>10</v>
      </c>
      <c r="N10" s="3">
        <f>L11+I11+F23+C41</f>
        <v>660</v>
      </c>
    </row>
    <row r="11" spans="1:14" x14ac:dyDescent="0.25">
      <c r="I11" s="6"/>
      <c r="L11" s="6">
        <v>660</v>
      </c>
    </row>
    <row r="13" spans="1:14" x14ac:dyDescent="0.25">
      <c r="L13" s="6">
        <f>1-(L5+L9)</f>
        <v>0.49</v>
      </c>
    </row>
    <row r="14" spans="1:14" x14ac:dyDescent="0.25">
      <c r="L14" s="7" t="s">
        <v>20</v>
      </c>
      <c r="M14" s="3">
        <v>11</v>
      </c>
      <c r="N14" s="3">
        <f>L15+I11+F23+C41</f>
        <v>660</v>
      </c>
    </row>
    <row r="15" spans="1:14" x14ac:dyDescent="0.25">
      <c r="L15" s="6">
        <v>660</v>
      </c>
    </row>
    <row r="17" spans="6:14" x14ac:dyDescent="0.25">
      <c r="L17" s="6">
        <v>0.08</v>
      </c>
    </row>
    <row r="18" spans="6:14" x14ac:dyDescent="0.25">
      <c r="L18" s="7" t="s">
        <v>18</v>
      </c>
      <c r="M18" s="3">
        <v>12</v>
      </c>
      <c r="N18" s="3">
        <f>L19+I23+F23+C41</f>
        <v>470</v>
      </c>
    </row>
    <row r="19" spans="6:14" x14ac:dyDescent="0.25">
      <c r="L19" s="6">
        <v>470</v>
      </c>
    </row>
    <row r="21" spans="6:14" x14ac:dyDescent="0.25">
      <c r="F21" s="6">
        <v>0.53500000000000003</v>
      </c>
      <c r="G21" s="8">
        <f>I9*(J9+I11)+I21*(J21+I23)+I33*(J33+I35)</f>
        <v>813.03</v>
      </c>
      <c r="I21" s="6">
        <v>0.5</v>
      </c>
      <c r="J21" s="8">
        <f>L19*L17+L23*L21+L27*L25</f>
        <v>847.2</v>
      </c>
      <c r="L21" s="6">
        <v>0.43</v>
      </c>
    </row>
    <row r="22" spans="6:14" x14ac:dyDescent="0.25">
      <c r="F22" s="7" t="s">
        <v>16</v>
      </c>
      <c r="G22" s="3">
        <v>4</v>
      </c>
      <c r="I22" s="7" t="s">
        <v>22</v>
      </c>
      <c r="J22" s="3">
        <v>7</v>
      </c>
      <c r="L22" s="7" t="s">
        <v>19</v>
      </c>
      <c r="M22" s="3">
        <v>13</v>
      </c>
      <c r="N22" s="3">
        <f>L23+I23+F23+C41</f>
        <v>880</v>
      </c>
    </row>
    <row r="23" spans="6:14" x14ac:dyDescent="0.25">
      <c r="F23" s="6"/>
      <c r="I23" s="6"/>
      <c r="L23" s="6">
        <v>880</v>
      </c>
    </row>
    <row r="25" spans="6:14" x14ac:dyDescent="0.25">
      <c r="L25" s="6">
        <f>1-(L17+L21)</f>
        <v>0.49</v>
      </c>
    </row>
    <row r="26" spans="6:14" x14ac:dyDescent="0.25">
      <c r="L26" s="7" t="s">
        <v>20</v>
      </c>
      <c r="M26" s="3">
        <v>14</v>
      </c>
      <c r="N26" s="3">
        <f>L27+I23+F23+C41</f>
        <v>880</v>
      </c>
    </row>
    <row r="27" spans="6:14" x14ac:dyDescent="0.25">
      <c r="L27" s="6">
        <v>880</v>
      </c>
    </row>
    <row r="29" spans="6:14" x14ac:dyDescent="0.25">
      <c r="L29" s="6">
        <v>0.08</v>
      </c>
    </row>
    <row r="30" spans="6:14" x14ac:dyDescent="0.25">
      <c r="L30" s="7" t="s">
        <v>18</v>
      </c>
      <c r="M30" s="3">
        <v>15</v>
      </c>
      <c r="N30" s="3">
        <f>L31+I35+F23+C41</f>
        <v>280</v>
      </c>
    </row>
    <row r="31" spans="6:14" x14ac:dyDescent="0.25">
      <c r="L31" s="6">
        <v>280</v>
      </c>
    </row>
    <row r="33" spans="3:14" x14ac:dyDescent="0.25">
      <c r="I33" s="6">
        <v>0.3</v>
      </c>
      <c r="J33" s="8">
        <f>L31*L29+L35*L33+L39*L37</f>
        <v>858.09999999999991</v>
      </c>
      <c r="L33" s="6">
        <v>0.43</v>
      </c>
    </row>
    <row r="34" spans="3:14" x14ac:dyDescent="0.25">
      <c r="I34" s="7" t="s">
        <v>23</v>
      </c>
      <c r="J34" s="3">
        <v>8</v>
      </c>
      <c r="L34" s="7" t="s">
        <v>19</v>
      </c>
      <c r="M34" s="3">
        <v>16</v>
      </c>
      <c r="N34" s="3">
        <f>L35+I35+F23+C41</f>
        <v>690</v>
      </c>
    </row>
    <row r="35" spans="3:14" x14ac:dyDescent="0.25">
      <c r="I35" s="6"/>
      <c r="L35" s="6">
        <v>690</v>
      </c>
    </row>
    <row r="37" spans="3:14" x14ac:dyDescent="0.25">
      <c r="L37" s="6">
        <f>1-(L29+L33)</f>
        <v>0.49</v>
      </c>
    </row>
    <row r="38" spans="3:14" x14ac:dyDescent="0.25">
      <c r="L38" s="7" t="s">
        <v>20</v>
      </c>
      <c r="M38" s="3">
        <v>17</v>
      </c>
      <c r="N38" s="3">
        <f>L39+I35+F23+C41</f>
        <v>1100</v>
      </c>
    </row>
    <row r="39" spans="3:14" x14ac:dyDescent="0.25">
      <c r="D39" s="8">
        <f>F21*(G21+F23)+F57*(G57+F59)</f>
        <v>749.92484999999988</v>
      </c>
      <c r="L39" s="6">
        <v>1100</v>
      </c>
    </row>
    <row r="40" spans="3:14" x14ac:dyDescent="0.25">
      <c r="C40" s="7" t="s">
        <v>14</v>
      </c>
      <c r="D40" s="3">
        <v>2</v>
      </c>
    </row>
    <row r="41" spans="3:14" x14ac:dyDescent="0.25">
      <c r="C41" s="6"/>
      <c r="L41" s="6">
        <v>0.34</v>
      </c>
    </row>
    <row r="42" spans="3:14" x14ac:dyDescent="0.25">
      <c r="L42" s="7" t="s">
        <v>18</v>
      </c>
      <c r="M42" s="3">
        <v>21</v>
      </c>
      <c r="N42" s="3">
        <f>L43+I47+F59+C41</f>
        <v>660</v>
      </c>
    </row>
    <row r="43" spans="3:14" x14ac:dyDescent="0.25">
      <c r="L43" s="6">
        <v>660</v>
      </c>
    </row>
    <row r="45" spans="3:14" x14ac:dyDescent="0.25">
      <c r="I45" s="6">
        <v>0.2</v>
      </c>
      <c r="J45" s="8">
        <f>L43*L41+L47*L45+L51*L49</f>
        <v>660</v>
      </c>
      <c r="L45" s="6">
        <v>0.57999999999999996</v>
      </c>
    </row>
    <row r="46" spans="3:14" x14ac:dyDescent="0.25">
      <c r="I46" s="7" t="s">
        <v>21</v>
      </c>
      <c r="J46" s="3">
        <v>18</v>
      </c>
      <c r="L46" s="7" t="s">
        <v>19</v>
      </c>
      <c r="M46" s="3">
        <v>22</v>
      </c>
      <c r="N46" s="3">
        <f>L47+I47+F59+C41</f>
        <v>660</v>
      </c>
    </row>
    <row r="47" spans="3:14" x14ac:dyDescent="0.25">
      <c r="I47" s="6"/>
      <c r="L47" s="6">
        <v>660</v>
      </c>
    </row>
    <row r="49" spans="1:14" x14ac:dyDescent="0.25">
      <c r="L49" s="6">
        <f>1-(L41+L45)</f>
        <v>8.0000000000000071E-2</v>
      </c>
    </row>
    <row r="50" spans="1:14" x14ac:dyDescent="0.25">
      <c r="L50" s="7" t="s">
        <v>20</v>
      </c>
      <c r="M50" s="3">
        <v>23</v>
      </c>
      <c r="N50" s="3">
        <f>L51+I47+F59+C41</f>
        <v>660</v>
      </c>
    </row>
    <row r="51" spans="1:14" x14ac:dyDescent="0.25">
      <c r="L51" s="6">
        <v>660</v>
      </c>
    </row>
    <row r="53" spans="1:14" x14ac:dyDescent="0.25">
      <c r="L53" s="6">
        <v>0.34</v>
      </c>
    </row>
    <row r="54" spans="1:14" x14ac:dyDescent="0.25">
      <c r="L54" s="7" t="s">
        <v>18</v>
      </c>
      <c r="M54" s="3">
        <v>24</v>
      </c>
      <c r="N54" s="3">
        <f>L55+I59+F59+C41</f>
        <v>470</v>
      </c>
    </row>
    <row r="55" spans="1:14" x14ac:dyDescent="0.25">
      <c r="L55" s="6">
        <v>470</v>
      </c>
    </row>
    <row r="57" spans="1:14" x14ac:dyDescent="0.25">
      <c r="F57" s="6">
        <f>1-F21</f>
        <v>0.46499999999999997</v>
      </c>
      <c r="G57" s="8">
        <f>I45*(J45+I47)+I57*(J57+I59)+I69*(J69+I71)</f>
        <v>677.31999999999994</v>
      </c>
      <c r="I57" s="6">
        <v>0.5</v>
      </c>
      <c r="J57" s="8">
        <f>L55*L53+L59*L57+L63*L61</f>
        <v>740.6</v>
      </c>
      <c r="L57" s="6">
        <v>0.57999999999999996</v>
      </c>
    </row>
    <row r="58" spans="1:14" x14ac:dyDescent="0.25">
      <c r="A58" s="4">
        <f>MAX(D39+C41,C79)</f>
        <v>798</v>
      </c>
      <c r="F58" s="7" t="s">
        <v>17</v>
      </c>
      <c r="G58" s="3">
        <v>5</v>
      </c>
      <c r="I58" s="7" t="s">
        <v>22</v>
      </c>
      <c r="J58" s="3">
        <v>19</v>
      </c>
      <c r="L58" s="7" t="s">
        <v>19</v>
      </c>
      <c r="M58" s="3">
        <v>25</v>
      </c>
      <c r="N58" s="3">
        <f>L59+I59+F59+C41</f>
        <v>880</v>
      </c>
    </row>
    <row r="59" spans="1:14" x14ac:dyDescent="0.25">
      <c r="A59" s="3">
        <v>1</v>
      </c>
      <c r="F59" s="6"/>
      <c r="I59" s="6"/>
      <c r="L59" s="6">
        <v>880</v>
      </c>
    </row>
    <row r="60" spans="1:14" x14ac:dyDescent="0.25">
      <c r="A60" s="4">
        <f>IF(A58=D39+C41,D40,IF(A58=C79,D78))</f>
        <v>3</v>
      </c>
    </row>
    <row r="61" spans="1:14" x14ac:dyDescent="0.25">
      <c r="L61" s="6">
        <v>0.08</v>
      </c>
    </row>
    <row r="62" spans="1:14" x14ac:dyDescent="0.25">
      <c r="L62" s="7" t="s">
        <v>20</v>
      </c>
      <c r="M62" s="3">
        <v>26</v>
      </c>
      <c r="N62" s="3">
        <f>L63+I59+F59+C41</f>
        <v>880</v>
      </c>
    </row>
    <row r="63" spans="1:14" x14ac:dyDescent="0.25">
      <c r="L63" s="6">
        <v>880</v>
      </c>
    </row>
    <row r="65" spans="3:14" x14ac:dyDescent="0.25">
      <c r="L65" s="6">
        <v>0.34</v>
      </c>
    </row>
    <row r="66" spans="3:14" x14ac:dyDescent="0.25">
      <c r="L66" s="7" t="s">
        <v>18</v>
      </c>
      <c r="M66" s="3">
        <v>27</v>
      </c>
      <c r="N66" s="3">
        <f>L67+I71+F59+C41</f>
        <v>280</v>
      </c>
    </row>
    <row r="67" spans="3:14" x14ac:dyDescent="0.25">
      <c r="L67" s="6">
        <v>280</v>
      </c>
    </row>
    <row r="69" spans="3:14" x14ac:dyDescent="0.25">
      <c r="I69" s="6">
        <v>0.3</v>
      </c>
      <c r="J69" s="8">
        <f>L67*L65+L71*L69+L75*L73</f>
        <v>583.4</v>
      </c>
      <c r="L69" s="6">
        <v>0.57999999999999996</v>
      </c>
    </row>
    <row r="70" spans="3:14" x14ac:dyDescent="0.25">
      <c r="I70" s="7" t="s">
        <v>24</v>
      </c>
      <c r="J70" s="3">
        <v>20</v>
      </c>
      <c r="L70" s="7" t="s">
        <v>19</v>
      </c>
      <c r="M70" s="3">
        <v>28</v>
      </c>
      <c r="N70" s="3">
        <f>L71+I71+F59+C41</f>
        <v>690</v>
      </c>
    </row>
    <row r="71" spans="3:14" x14ac:dyDescent="0.25">
      <c r="I71" s="6"/>
      <c r="L71" s="6">
        <v>690</v>
      </c>
    </row>
    <row r="73" spans="3:14" x14ac:dyDescent="0.25">
      <c r="L73" s="6">
        <v>0.08</v>
      </c>
    </row>
    <row r="74" spans="3:14" x14ac:dyDescent="0.25">
      <c r="L74" s="7" t="s">
        <v>20</v>
      </c>
      <c r="M74" s="3">
        <v>29</v>
      </c>
      <c r="N74" s="3">
        <f>L75+I71+F59+C41</f>
        <v>1100</v>
      </c>
    </row>
    <row r="75" spans="3:14" x14ac:dyDescent="0.25">
      <c r="L75" s="6">
        <v>1100</v>
      </c>
    </row>
    <row r="78" spans="3:14" x14ac:dyDescent="0.25">
      <c r="C78" s="7" t="s">
        <v>15</v>
      </c>
      <c r="D78" s="3">
        <v>3</v>
      </c>
      <c r="E78" s="3">
        <f>C79</f>
        <v>798</v>
      </c>
    </row>
    <row r="79" spans="3:14" x14ac:dyDescent="0.25">
      <c r="C79" s="6">
        <v>798</v>
      </c>
    </row>
    <row r="80" spans="3:14" x14ac:dyDescent="0.25">
      <c r="C80" s="3" t="s">
        <v>25</v>
      </c>
    </row>
    <row r="84" spans="1:8" x14ac:dyDescent="0.25">
      <c r="A84" s="2" t="s">
        <v>0</v>
      </c>
    </row>
    <row r="85" spans="1:8" x14ac:dyDescent="0.25">
      <c r="A85" s="5">
        <v>29</v>
      </c>
      <c r="B85" s="1" t="s">
        <v>2</v>
      </c>
      <c r="C85" s="1" t="s">
        <v>1</v>
      </c>
      <c r="D85" s="5"/>
      <c r="E85" s="5"/>
      <c r="F85" s="5"/>
      <c r="G85" s="5"/>
      <c r="H85" s="5"/>
    </row>
    <row r="86" spans="1:8" x14ac:dyDescent="0.25">
      <c r="A86" s="5" t="s">
        <v>3</v>
      </c>
      <c r="B86" s="5" t="s">
        <v>4</v>
      </c>
      <c r="C86" s="5" t="s">
        <v>5</v>
      </c>
      <c r="D86" s="5" t="s">
        <v>6</v>
      </c>
      <c r="E86" s="5" t="s">
        <v>7</v>
      </c>
      <c r="F86" s="5" t="s">
        <v>8</v>
      </c>
      <c r="G86" s="5" t="s">
        <v>9</v>
      </c>
      <c r="H86" s="5" t="s">
        <v>10</v>
      </c>
    </row>
    <row r="87" spans="1:8" x14ac:dyDescent="0.25">
      <c r="A87" s="5">
        <v>1</v>
      </c>
      <c r="B87" s="5">
        <v>0</v>
      </c>
      <c r="C87" s="5"/>
      <c r="D87" s="5">
        <v>2</v>
      </c>
      <c r="E87" s="5" t="b">
        <v>1</v>
      </c>
      <c r="F87" s="5">
        <v>0</v>
      </c>
      <c r="G87" s="5"/>
      <c r="H87" s="5"/>
    </row>
    <row r="88" spans="1:8" x14ac:dyDescent="0.25">
      <c r="A88" s="5">
        <v>2</v>
      </c>
      <c r="B88" s="5">
        <v>1</v>
      </c>
      <c r="C88" s="5" t="str">
        <f>C40</f>
        <v xml:space="preserve">Survey </v>
      </c>
      <c r="D88" s="5">
        <v>2</v>
      </c>
      <c r="E88" s="5" t="b">
        <v>0</v>
      </c>
      <c r="F88" s="5">
        <v>1</v>
      </c>
      <c r="G88" s="5" t="str">
        <f>[1]!dtformula(C39)</f>
        <v/>
      </c>
      <c r="H88" s="5" t="str">
        <f>[1]!dtformula(C41)</f>
        <v/>
      </c>
    </row>
    <row r="89" spans="1:8" x14ac:dyDescent="0.25">
      <c r="A89" s="5">
        <v>3</v>
      </c>
      <c r="B89" s="5">
        <v>1</v>
      </c>
      <c r="C89" s="5" t="str">
        <f>C78</f>
        <v xml:space="preserve">No survey </v>
      </c>
      <c r="D89" s="5">
        <v>0</v>
      </c>
      <c r="E89" s="5" t="b">
        <v>0</v>
      </c>
      <c r="F89" s="5">
        <v>2</v>
      </c>
      <c r="G89" s="5" t="str">
        <f>[1]!dtformula(C77)</f>
        <v/>
      </c>
      <c r="H89" s="5" t="str">
        <f>[1]!dtformula(C79)</f>
        <v>798</v>
      </c>
    </row>
    <row r="90" spans="1:8" x14ac:dyDescent="0.25">
      <c r="A90" s="5">
        <v>4</v>
      </c>
      <c r="B90" s="5">
        <v>2</v>
      </c>
      <c r="C90" s="5" t="str">
        <f>F22</f>
        <v>Positive</v>
      </c>
      <c r="D90" s="5">
        <v>3</v>
      </c>
      <c r="E90" s="5" t="b">
        <v>0</v>
      </c>
      <c r="F90" s="5">
        <v>1</v>
      </c>
      <c r="G90" s="5" t="str">
        <f>[1]!dtformula(F21)</f>
        <v>0.535</v>
      </c>
      <c r="H90" s="5" t="str">
        <f>[1]!dtformula(F23)</f>
        <v/>
      </c>
    </row>
    <row r="91" spans="1:8" x14ac:dyDescent="0.25">
      <c r="A91" s="5">
        <v>5</v>
      </c>
      <c r="B91" s="5">
        <v>2</v>
      </c>
      <c r="C91" s="5" t="str">
        <f>F58</f>
        <v xml:space="preserve">Negative </v>
      </c>
      <c r="D91" s="5">
        <v>3</v>
      </c>
      <c r="E91" s="5" t="b">
        <v>0</v>
      </c>
      <c r="F91" s="5">
        <v>2</v>
      </c>
      <c r="G91" s="5" t="str">
        <f>[1]!dtformula(F57)</f>
        <v>=1-F21</v>
      </c>
      <c r="H91" s="5" t="str">
        <f>[1]!dtformula(F59)</f>
        <v/>
      </c>
    </row>
    <row r="92" spans="1:8" x14ac:dyDescent="0.25">
      <c r="A92" s="5">
        <v>6</v>
      </c>
      <c r="B92" s="5">
        <v>4</v>
      </c>
      <c r="C92" s="5" t="str">
        <f>I10</f>
        <v>Alternative 1 (6)</v>
      </c>
      <c r="D92" s="5">
        <v>3</v>
      </c>
      <c r="E92" s="5" t="b">
        <v>0</v>
      </c>
      <c r="F92" s="5">
        <v>1</v>
      </c>
      <c r="G92" s="5" t="str">
        <f>[1]!dtformula(I9)</f>
        <v>0.2</v>
      </c>
      <c r="H92" s="5" t="str">
        <f>[1]!dtformula(I11)</f>
        <v/>
      </c>
    </row>
    <row r="93" spans="1:8" x14ac:dyDescent="0.25">
      <c r="A93" s="5">
        <v>7</v>
      </c>
      <c r="B93" s="5">
        <v>4</v>
      </c>
      <c r="C93" s="5" t="str">
        <f>I22</f>
        <v>Alternative 2 (8)</v>
      </c>
      <c r="D93" s="5">
        <v>3</v>
      </c>
      <c r="E93" s="5" t="b">
        <v>0</v>
      </c>
      <c r="F93" s="5">
        <v>2</v>
      </c>
      <c r="G93" s="5" t="str">
        <f>[1]!dtformula(I21)</f>
        <v>0.5</v>
      </c>
      <c r="H93" s="5" t="str">
        <f>[1]!dtformula(I23)</f>
        <v/>
      </c>
    </row>
    <row r="94" spans="1:8" x14ac:dyDescent="0.25">
      <c r="A94" s="5">
        <v>8</v>
      </c>
      <c r="B94" s="5">
        <v>4</v>
      </c>
      <c r="C94" s="5" t="str">
        <f>I34</f>
        <v>Alternative (10)</v>
      </c>
      <c r="D94" s="5">
        <v>3</v>
      </c>
      <c r="E94" s="5" t="b">
        <v>0</v>
      </c>
      <c r="F94" s="5">
        <v>3</v>
      </c>
      <c r="G94" s="5" t="str">
        <f>[1]!dtformula(I33)</f>
        <v>0.3</v>
      </c>
      <c r="H94" s="5" t="str">
        <f>[1]!dtformula(I35)</f>
        <v/>
      </c>
    </row>
    <row r="95" spans="1:8" x14ac:dyDescent="0.25">
      <c r="A95" s="5">
        <v>9</v>
      </c>
      <c r="B95" s="5">
        <v>6</v>
      </c>
      <c r="C95" s="5" t="str">
        <f>L6</f>
        <v>Low Demand</v>
      </c>
      <c r="D95" s="5">
        <v>0</v>
      </c>
      <c r="E95" s="5" t="b">
        <v>1</v>
      </c>
      <c r="F95" s="5">
        <v>1</v>
      </c>
      <c r="G95" s="5" t="str">
        <f>[1]!dtformula(L5)</f>
        <v>0.08</v>
      </c>
      <c r="H95" s="5" t="str">
        <f>[1]!dtformula(L7)</f>
        <v>660</v>
      </c>
    </row>
    <row r="96" spans="1:8" x14ac:dyDescent="0.25">
      <c r="A96" s="5">
        <v>10</v>
      </c>
      <c r="B96" s="5">
        <v>6</v>
      </c>
      <c r="C96" s="5" t="str">
        <f>L10</f>
        <v>Medium Demand</v>
      </c>
      <c r="D96" s="5">
        <v>0</v>
      </c>
      <c r="E96" s="5" t="b">
        <v>1</v>
      </c>
      <c r="F96" s="5">
        <v>2</v>
      </c>
      <c r="G96" s="5" t="str">
        <f>[1]!dtformula(L9)</f>
        <v>0.43</v>
      </c>
      <c r="H96" s="5" t="str">
        <f>[1]!dtformula(L11)</f>
        <v>660</v>
      </c>
    </row>
    <row r="97" spans="1:8" x14ac:dyDescent="0.25">
      <c r="A97" s="5">
        <v>11</v>
      </c>
      <c r="B97" s="5">
        <v>6</v>
      </c>
      <c r="C97" s="5" t="str">
        <f>L14</f>
        <v>High Demand</v>
      </c>
      <c r="D97" s="5">
        <v>0</v>
      </c>
      <c r="E97" s="5" t="b">
        <v>1</v>
      </c>
      <c r="F97" s="5">
        <v>3</v>
      </c>
      <c r="G97" s="5" t="str">
        <f>[1]!dtformula(L13)</f>
        <v>=1-(L5+L9)</v>
      </c>
      <c r="H97" s="5" t="str">
        <f>[1]!dtformula(L15)</f>
        <v>660</v>
      </c>
    </row>
    <row r="98" spans="1:8" x14ac:dyDescent="0.25">
      <c r="A98" s="5">
        <v>12</v>
      </c>
      <c r="B98" s="5">
        <v>7</v>
      </c>
      <c r="C98" s="5" t="str">
        <f>L18</f>
        <v>Low Demand</v>
      </c>
      <c r="D98" s="5">
        <v>0</v>
      </c>
      <c r="E98" s="5" t="b">
        <v>1</v>
      </c>
      <c r="F98" s="5">
        <v>1</v>
      </c>
      <c r="G98" s="5" t="str">
        <f>[1]!dtformula(L17)</f>
        <v>0.08</v>
      </c>
      <c r="H98" s="5" t="str">
        <f>[1]!dtformula(L19)</f>
        <v>470</v>
      </c>
    </row>
    <row r="99" spans="1:8" x14ac:dyDescent="0.25">
      <c r="A99" s="5">
        <v>13</v>
      </c>
      <c r="B99" s="5">
        <v>7</v>
      </c>
      <c r="C99" s="5" t="str">
        <f>L22</f>
        <v>Medium Demand</v>
      </c>
      <c r="D99" s="5">
        <v>0</v>
      </c>
      <c r="E99" s="5" t="b">
        <v>1</v>
      </c>
      <c r="F99" s="5">
        <v>2</v>
      </c>
      <c r="G99" s="5" t="str">
        <f>[1]!dtformula(L21)</f>
        <v>0.43</v>
      </c>
      <c r="H99" s="5" t="str">
        <f>[1]!dtformula(L23)</f>
        <v>880</v>
      </c>
    </row>
    <row r="100" spans="1:8" x14ac:dyDescent="0.25">
      <c r="A100" s="5">
        <v>14</v>
      </c>
      <c r="B100" s="5">
        <v>7</v>
      </c>
      <c r="C100" s="5" t="str">
        <f>L26</f>
        <v>High Demand</v>
      </c>
      <c r="D100" s="5">
        <v>0</v>
      </c>
      <c r="E100" s="5" t="b">
        <v>1</v>
      </c>
      <c r="F100" s="5">
        <v>3</v>
      </c>
      <c r="G100" s="5" t="str">
        <f>[1]!dtformula(L25)</f>
        <v>=1-(L17+L21)</v>
      </c>
      <c r="H100" s="5" t="str">
        <f>[1]!dtformula(L27)</f>
        <v>880</v>
      </c>
    </row>
    <row r="101" spans="1:8" x14ac:dyDescent="0.25">
      <c r="A101" s="5">
        <v>15</v>
      </c>
      <c r="B101" s="5">
        <v>8</v>
      </c>
      <c r="C101" s="5" t="str">
        <f>L30</f>
        <v>Low Demand</v>
      </c>
      <c r="D101" s="5">
        <v>0</v>
      </c>
      <c r="E101" s="5" t="b">
        <v>1</v>
      </c>
      <c r="F101" s="5">
        <v>1</v>
      </c>
      <c r="G101" s="5" t="str">
        <f>[1]!dtformula(L29)</f>
        <v>0.08</v>
      </c>
      <c r="H101" s="5" t="str">
        <f>[1]!dtformula(L31)</f>
        <v>280</v>
      </c>
    </row>
    <row r="102" spans="1:8" x14ac:dyDescent="0.25">
      <c r="A102" s="5">
        <v>16</v>
      </c>
      <c r="B102" s="5">
        <v>8</v>
      </c>
      <c r="C102" s="5" t="str">
        <f>L34</f>
        <v>Medium Demand</v>
      </c>
      <c r="D102" s="5">
        <v>0</v>
      </c>
      <c r="E102" s="5" t="b">
        <v>1</v>
      </c>
      <c r="F102" s="5">
        <v>2</v>
      </c>
      <c r="G102" s="5" t="str">
        <f>[1]!dtformula(L33)</f>
        <v>0.43</v>
      </c>
      <c r="H102" s="5" t="str">
        <f>[1]!dtformula(L35)</f>
        <v>690</v>
      </c>
    </row>
    <row r="103" spans="1:8" x14ac:dyDescent="0.25">
      <c r="A103" s="5">
        <v>17</v>
      </c>
      <c r="B103" s="5">
        <v>8</v>
      </c>
      <c r="C103" s="5" t="str">
        <f>L38</f>
        <v>High Demand</v>
      </c>
      <c r="D103" s="5">
        <v>0</v>
      </c>
      <c r="E103" s="5" t="b">
        <v>1</v>
      </c>
      <c r="F103" s="5">
        <v>3</v>
      </c>
      <c r="G103" s="5" t="str">
        <f>[1]!dtformula(L37)</f>
        <v>=1-(L29+L33)</v>
      </c>
      <c r="H103" s="5" t="str">
        <f>[1]!dtformula(L39)</f>
        <v>1100</v>
      </c>
    </row>
    <row r="104" spans="1:8" x14ac:dyDescent="0.25">
      <c r="A104" s="5">
        <v>18</v>
      </c>
      <c r="B104" s="5">
        <v>5</v>
      </c>
      <c r="C104" s="5" t="str">
        <f>I46</f>
        <v>Alternative 1 (6)</v>
      </c>
      <c r="D104" s="5">
        <v>3</v>
      </c>
      <c r="E104" s="5" t="b">
        <v>0</v>
      </c>
      <c r="F104" s="5">
        <v>1</v>
      </c>
      <c r="G104" s="5" t="str">
        <f>[1]!dtformula(I45)</f>
        <v>0.2</v>
      </c>
      <c r="H104" s="5" t="str">
        <f>[1]!dtformula(I47)</f>
        <v/>
      </c>
    </row>
    <row r="105" spans="1:8" x14ac:dyDescent="0.25">
      <c r="A105" s="5">
        <v>19</v>
      </c>
      <c r="B105" s="5">
        <v>5</v>
      </c>
      <c r="C105" s="5" t="str">
        <f>I58</f>
        <v>Alternative 2 (8)</v>
      </c>
      <c r="D105" s="5">
        <v>3</v>
      </c>
      <c r="E105" s="5" t="b">
        <v>0</v>
      </c>
      <c r="F105" s="5">
        <v>2</v>
      </c>
      <c r="G105" s="5" t="str">
        <f>[1]!dtformula(I57)</f>
        <v>0.5</v>
      </c>
      <c r="H105" s="5" t="str">
        <f>[1]!dtformula(I59)</f>
        <v/>
      </c>
    </row>
    <row r="106" spans="1:8" x14ac:dyDescent="0.25">
      <c r="A106" s="5">
        <v>20</v>
      </c>
      <c r="B106" s="5">
        <v>5</v>
      </c>
      <c r="C106" s="5" t="str">
        <f>I70</f>
        <v>Alternative 3 (10)</v>
      </c>
      <c r="D106" s="5">
        <v>3</v>
      </c>
      <c r="E106" s="5" t="b">
        <v>0</v>
      </c>
      <c r="F106" s="5">
        <v>3</v>
      </c>
      <c r="G106" s="5" t="str">
        <f>[1]!dtformula(I69)</f>
        <v>0.3</v>
      </c>
      <c r="H106" s="5" t="str">
        <f>[1]!dtformula(I71)</f>
        <v/>
      </c>
    </row>
    <row r="107" spans="1:8" x14ac:dyDescent="0.25">
      <c r="A107" s="5">
        <v>21</v>
      </c>
      <c r="B107" s="5">
        <v>18</v>
      </c>
      <c r="C107" s="5" t="str">
        <f>L42</f>
        <v>Low Demand</v>
      </c>
      <c r="D107" s="5">
        <v>0</v>
      </c>
      <c r="E107" s="5" t="b">
        <v>1</v>
      </c>
      <c r="F107" s="5">
        <v>1</v>
      </c>
      <c r="G107" s="5" t="str">
        <f>[1]!dtformula(L41)</f>
        <v>0.34</v>
      </c>
      <c r="H107" s="5" t="str">
        <f>[1]!dtformula(L43)</f>
        <v>660</v>
      </c>
    </row>
    <row r="108" spans="1:8" x14ac:dyDescent="0.25">
      <c r="A108" s="5">
        <v>22</v>
      </c>
      <c r="B108" s="5">
        <v>18</v>
      </c>
      <c r="C108" s="5" t="str">
        <f>L46</f>
        <v>Medium Demand</v>
      </c>
      <c r="D108" s="5">
        <v>0</v>
      </c>
      <c r="E108" s="5" t="b">
        <v>1</v>
      </c>
      <c r="F108" s="5">
        <v>2</v>
      </c>
      <c r="G108" s="5" t="str">
        <f>[1]!dtformula(L45)</f>
        <v>0.58</v>
      </c>
      <c r="H108" s="5" t="str">
        <f>[1]!dtformula(L47)</f>
        <v>660</v>
      </c>
    </row>
    <row r="109" spans="1:8" x14ac:dyDescent="0.25">
      <c r="A109" s="5">
        <v>23</v>
      </c>
      <c r="B109" s="5">
        <v>18</v>
      </c>
      <c r="C109" s="5" t="str">
        <f>L50</f>
        <v>High Demand</v>
      </c>
      <c r="D109" s="5">
        <v>0</v>
      </c>
      <c r="E109" s="5" t="b">
        <v>1</v>
      </c>
      <c r="F109" s="5">
        <v>3</v>
      </c>
      <c r="G109" s="5" t="str">
        <f>[1]!dtformula(L49)</f>
        <v>=1-(L41+L45)</v>
      </c>
      <c r="H109" s="5" t="str">
        <f>[1]!dtformula(L51)</f>
        <v>660</v>
      </c>
    </row>
    <row r="110" spans="1:8" x14ac:dyDescent="0.25">
      <c r="A110" s="5">
        <v>24</v>
      </c>
      <c r="B110" s="5">
        <v>19</v>
      </c>
      <c r="C110" s="5" t="str">
        <f>L54</f>
        <v>Low Demand</v>
      </c>
      <c r="D110" s="5">
        <v>0</v>
      </c>
      <c r="E110" s="5" t="b">
        <v>1</v>
      </c>
      <c r="F110" s="5">
        <v>1</v>
      </c>
      <c r="G110" s="5" t="str">
        <f>[1]!dtformula(L53)</f>
        <v>0.34</v>
      </c>
      <c r="H110" s="5" t="str">
        <f>[1]!dtformula(L55)</f>
        <v>470</v>
      </c>
    </row>
    <row r="111" spans="1:8" x14ac:dyDescent="0.25">
      <c r="A111" s="5">
        <v>25</v>
      </c>
      <c r="B111" s="5">
        <v>19</v>
      </c>
      <c r="C111" s="5" t="str">
        <f>L58</f>
        <v>Medium Demand</v>
      </c>
      <c r="D111" s="5">
        <v>0</v>
      </c>
      <c r="E111" s="5" t="b">
        <v>1</v>
      </c>
      <c r="F111" s="5">
        <v>2</v>
      </c>
      <c r="G111" s="5" t="str">
        <f>[1]!dtformula(L57)</f>
        <v>0.58</v>
      </c>
      <c r="H111" s="5" t="str">
        <f>[1]!dtformula(L59)</f>
        <v>880</v>
      </c>
    </row>
    <row r="112" spans="1:8" x14ac:dyDescent="0.25">
      <c r="A112" s="5">
        <v>26</v>
      </c>
      <c r="B112" s="5">
        <v>19</v>
      </c>
      <c r="C112" s="5" t="str">
        <f>L62</f>
        <v>High Demand</v>
      </c>
      <c r="D112" s="5">
        <v>0</v>
      </c>
      <c r="E112" s="5" t="b">
        <v>1</v>
      </c>
      <c r="F112" s="5">
        <v>3</v>
      </c>
      <c r="G112" s="5" t="str">
        <f>[1]!dtformula(L61)</f>
        <v>0.08</v>
      </c>
      <c r="H112" s="5" t="str">
        <f>[1]!dtformula(L63)</f>
        <v>880</v>
      </c>
    </row>
    <row r="113" spans="1:8" x14ac:dyDescent="0.25">
      <c r="A113" s="5">
        <v>27</v>
      </c>
      <c r="B113" s="5">
        <v>20</v>
      </c>
      <c r="C113" s="5" t="str">
        <f>L66</f>
        <v>Low Demand</v>
      </c>
      <c r="D113" s="5">
        <v>0</v>
      </c>
      <c r="E113" s="5" t="b">
        <v>1</v>
      </c>
      <c r="F113" s="5">
        <v>1</v>
      </c>
      <c r="G113" s="5" t="str">
        <f>[1]!dtformula(L65)</f>
        <v>0.34</v>
      </c>
      <c r="H113" s="5" t="str">
        <f>[1]!dtformula(L67)</f>
        <v>280</v>
      </c>
    </row>
    <row r="114" spans="1:8" x14ac:dyDescent="0.25">
      <c r="A114" s="5">
        <v>28</v>
      </c>
      <c r="B114" s="5">
        <v>20</v>
      </c>
      <c r="C114" s="5" t="str">
        <f>L70</f>
        <v>Medium Demand</v>
      </c>
      <c r="D114" s="5">
        <v>0</v>
      </c>
      <c r="E114" s="5" t="b">
        <v>1</v>
      </c>
      <c r="F114" s="5">
        <v>2</v>
      </c>
      <c r="G114" s="5" t="str">
        <f>[1]!dtformula(L69)</f>
        <v>0.58</v>
      </c>
      <c r="H114" s="5" t="str">
        <f>[1]!dtformula(L71)</f>
        <v>690</v>
      </c>
    </row>
    <row r="115" spans="1:8" x14ac:dyDescent="0.25">
      <c r="A115" s="5">
        <v>29</v>
      </c>
      <c r="B115" s="5">
        <v>20</v>
      </c>
      <c r="C115" s="5" t="str">
        <f>L74</f>
        <v>High Demand</v>
      </c>
      <c r="D115" s="5">
        <v>0</v>
      </c>
      <c r="E115" s="5" t="b">
        <v>1</v>
      </c>
      <c r="F115" s="5">
        <v>3</v>
      </c>
      <c r="G115" s="5" t="str">
        <f>[1]!dtformula(L73)</f>
        <v>0.08</v>
      </c>
      <c r="H115" s="5" t="str">
        <f>[1]!dtformula(L75)</f>
        <v>1100</v>
      </c>
    </row>
  </sheetData>
  <mergeCells count="2">
    <mergeCell ref="A1:C1"/>
    <mergeCell ref="A3:C3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Nehaal Syed</dc:creator>
  <cp:lastModifiedBy>Nehaal Syed</cp:lastModifiedBy>
  <dcterms:created xsi:type="dcterms:W3CDTF">2023-11-15T23:09:22Z</dcterms:created>
  <dcterms:modified xsi:type="dcterms:W3CDTF">2025-11-08T18:02:54Z</dcterms:modified>
</cp:coreProperties>
</file>